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<sst xmlns="http://schemas.openxmlformats.org/spreadsheetml/2006/main" count="2149" uniqueCount="663">
  <si>
    <t>Company Name</t>
  </si>
  <si>
    <t>LinkedIn</t>
  </si>
  <si>
    <t>Country</t>
  </si>
  <si>
    <t>Industry</t>
  </si>
  <si>
    <t>Employees</t>
  </si>
  <si>
    <t>Contact Name</t>
  </si>
  <si>
    <t>Job Title</t>
  </si>
  <si>
    <t>Website</t>
  </si>
  <si>
    <t>Recent Funding</t>
  </si>
  <si>
    <t>Hiring Sales Team</t>
  </si>
  <si>
    <t>International Expansion</t>
  </si>
  <si>
    <t>Website Traffic Growth</t>
  </si>
  <si>
    <t>Tech Growth</t>
  </si>
  <si>
    <t>Industry Score</t>
  </si>
  <si>
    <t>Companie Size Score</t>
  </si>
  <si>
    <t>Region Score</t>
  </si>
  <si>
    <t>Persona Score</t>
  </si>
  <si>
    <t>Funding Score</t>
  </si>
  <si>
    <t>Hiring Score</t>
  </si>
  <si>
    <t>Expansion Score</t>
  </si>
  <si>
    <t>Traffic Score</t>
  </si>
  <si>
    <t>Contact Score</t>
  </si>
  <si>
    <t>Account Score</t>
  </si>
  <si>
    <t>Priority Level</t>
  </si>
  <si>
    <t>Scoring Reason</t>
  </si>
  <si>
    <t>Personio</t>
  </si>
  <si>
    <t>linkedin.com/in/philip-lacor-3a4167</t>
  </si>
  <si>
    <t>Germany</t>
  </si>
  <si>
    <t>HR Tech</t>
  </si>
  <si>
    <t>Philip Lacor</t>
  </si>
  <si>
    <t>CRO</t>
  </si>
  <si>
    <t>personio.com</t>
  </si>
  <si>
    <t>Yes</t>
  </si>
  <si>
    <t>High</t>
  </si>
  <si>
    <t>Qonto</t>
  </si>
  <si>
    <t>linkedin.com/in/giacomoruggiero</t>
  </si>
  <si>
    <t>France</t>
  </si>
  <si>
    <t>FinTech</t>
  </si>
  <si>
    <t>Giacomo Ruggiero</t>
  </si>
  <si>
    <t xml:space="preserve">
Director - Sales &amp; Account Growth</t>
  </si>
  <si>
    <t>qonto.com</t>
  </si>
  <si>
    <t>Pleo</t>
  </si>
  <si>
    <t>linkedin.com/in/pedrosousalves</t>
  </si>
  <si>
    <t>Denmark</t>
  </si>
  <si>
    <t>Pedro Sousa Alves</t>
  </si>
  <si>
    <t>Fraud Operations Manager</t>
  </si>
  <si>
    <t>pleo.io</t>
  </si>
  <si>
    <t>Mollie</t>
  </si>
  <si>
    <t>linkedin.com/in/rickemondts</t>
  </si>
  <si>
    <t>Netherlands</t>
  </si>
  <si>
    <t>Payments</t>
  </si>
  <si>
    <t>Rick Ermondts</t>
  </si>
  <si>
    <t>Head of Expansion-GTM</t>
  </si>
  <si>
    <t>mollie.com</t>
  </si>
  <si>
    <t>No</t>
  </si>
  <si>
    <t>Medium</t>
  </si>
  <si>
    <t>Adyen</t>
  </si>
  <si>
    <t>linkedin.com/in/ingo-uytdehaage-559a9133</t>
  </si>
  <si>
    <t>Ingo Uytdehaage</t>
  </si>
  <si>
    <t>CEO</t>
  </si>
  <si>
    <t>adyen.com</t>
  </si>
  <si>
    <t>N26</t>
  </si>
  <si>
    <r>
      <rPr>
        <color rgb="FF1155CC"/>
        <u/>
      </rPr>
      <t>linkedin.com/in/marcus-w-mosen-295887</t>
    </r>
  </si>
  <si>
    <t>Marcus W. Mosen</t>
  </si>
  <si>
    <t>Managing Director</t>
  </si>
  <si>
    <t>n26.com</t>
  </si>
  <si>
    <t>Revolut</t>
  </si>
  <si>
    <t>linkedin.com/in/alan-chang-b810a295</t>
  </si>
  <si>
    <t>UK</t>
  </si>
  <si>
    <t>Alan Chang</t>
  </si>
  <si>
    <t>revolut.com</t>
  </si>
  <si>
    <t>Aircall</t>
  </si>
  <si>
    <t>linkedin.com/in/olivier-pailhes</t>
  </si>
  <si>
    <t>SaaS Sales</t>
  </si>
  <si>
    <t>Olivier Pailhes</t>
  </si>
  <si>
    <t>Co-founder at Aircall</t>
  </si>
  <si>
    <t>aircall.io</t>
  </si>
  <si>
    <t>Cognism</t>
  </si>
  <si>
    <t>linkedin.com/in/marcel-hövel-104aa61a5</t>
  </si>
  <si>
    <t>Sales Tech</t>
  </si>
  <si>
    <t>Marcel Hövel</t>
  </si>
  <si>
    <t>Strategic Account Manager DACH</t>
  </si>
  <si>
    <t>cognism.com</t>
  </si>
  <si>
    <t>Dealfront</t>
  </si>
  <si>
    <t>linkedin.com/in/kfmcintyre</t>
  </si>
  <si>
    <t>Kevin McIntyre</t>
  </si>
  <si>
    <t>dealfront.com</t>
  </si>
  <si>
    <t>Lusha</t>
  </si>
  <si>
    <t>linkedin.com/in/dorin-hakakian-0a5221b6</t>
  </si>
  <si>
    <t>Israel</t>
  </si>
  <si>
    <t>Dorin Hakakian</t>
  </si>
  <si>
    <t>Director of Customer Success</t>
  </si>
  <si>
    <t>lusha.com</t>
  </si>
  <si>
    <t>Pipedrive</t>
  </si>
  <si>
    <t>linkedin.com/in/paulovcunha</t>
  </si>
  <si>
    <t>Estonia</t>
  </si>
  <si>
    <t>CRM</t>
  </si>
  <si>
    <t>Pauo Cunha</t>
  </si>
  <si>
    <t>pipedrive.com</t>
  </si>
  <si>
    <t>HubSpot</t>
  </si>
  <si>
    <t>linkedin.com/in/alisonelworthy</t>
  </si>
  <si>
    <t>Ireland</t>
  </si>
  <si>
    <t>Alison Elworthy</t>
  </si>
  <si>
    <t>EVP RevOps</t>
  </si>
  <si>
    <t>hubspot.com</t>
  </si>
  <si>
    <t>Miro</t>
  </si>
  <si>
    <t>linkedin.com/in/ngennaro</t>
  </si>
  <si>
    <t>Collaboration</t>
  </si>
  <si>
    <t>Norman Gennaro</t>
  </si>
  <si>
    <t>miro.com</t>
  </si>
  <si>
    <t>Notion</t>
  </si>
  <si>
    <r>
      <rPr>
        <color rgb="FF1155CC"/>
        <u/>
      </rPr>
      <t>linkedin.com/in/erica-anderson-54b5878</t>
    </r>
  </si>
  <si>
    <t>Productivity</t>
  </si>
  <si>
    <t>Erica Anderson</t>
  </si>
  <si>
    <t>notion.so</t>
  </si>
  <si>
    <t>Figma</t>
  </si>
  <si>
    <t>linkedin.com/in/shauntvoskanian</t>
  </si>
  <si>
    <t>Design SaaS</t>
  </si>
  <si>
    <t>Shaunt Voskanian</t>
  </si>
  <si>
    <t>figma.com</t>
  </si>
  <si>
    <t>GitLab</t>
  </si>
  <si>
    <t>linkedin.com/in/isteward</t>
  </si>
  <si>
    <t>Remote</t>
  </si>
  <si>
    <t>DevOps</t>
  </si>
  <si>
    <t>Ian Steward</t>
  </si>
  <si>
    <t>gitlab.com</t>
  </si>
  <si>
    <t>Snyk</t>
  </si>
  <si>
    <t>linkedin.com/in/tom-nielsen-29a03b88</t>
  </si>
  <si>
    <t>Cybersecurity</t>
  </si>
  <si>
    <t>Tom Nielsen</t>
  </si>
  <si>
    <t>snyk.io</t>
  </si>
  <si>
    <t>Darktrace</t>
  </si>
  <si>
    <t>linkedin.com/in/nicole-eagan-6b874a216</t>
  </si>
  <si>
    <t>Nicole Eagan</t>
  </si>
  <si>
    <t>Chief Strategy &amp; AI Officer</t>
  </si>
  <si>
    <t>darktrace.com</t>
  </si>
  <si>
    <t>OneTrust</t>
  </si>
  <si>
    <t>linkedin.com/in/john-heyman-6258838</t>
  </si>
  <si>
    <t>Privacy SaaS</t>
  </si>
  <si>
    <t>John Heyman</t>
  </si>
  <si>
    <t>onetrust.com</t>
  </si>
  <si>
    <t>Tines</t>
  </si>
  <si>
    <t>linkedin.com/in/eoinhinchy</t>
  </si>
  <si>
    <t>Security SaaS</t>
  </si>
  <si>
    <t>Eoin Hinchy</t>
  </si>
  <si>
    <t>Founder</t>
  </si>
  <si>
    <t>tines.com</t>
  </si>
  <si>
    <t>Nord Security</t>
  </si>
  <si>
    <t>linkedin.com/in/vykintasmak</t>
  </si>
  <si>
    <t>Lithuania</t>
  </si>
  <si>
    <t>Vykintas Maknickas</t>
  </si>
  <si>
    <t>Chief Revenue</t>
  </si>
  <si>
    <t>nordsecurity.com</t>
  </si>
  <si>
    <t>DeepL</t>
  </si>
  <si>
    <t>linkedin.com/in/jarekkut</t>
  </si>
  <si>
    <t>AI SaaS</t>
  </si>
  <si>
    <t>Jarek Kutylowski</t>
  </si>
  <si>
    <t>deepl.com</t>
  </si>
  <si>
    <t>Mistral AI</t>
  </si>
  <si>
    <t>linkedin.com/in/arthur-mensch</t>
  </si>
  <si>
    <t>Arthur Mensch</t>
  </si>
  <si>
    <t>mistral.ai</t>
  </si>
  <si>
    <t>Hugging Face</t>
  </si>
  <si>
    <t>linkedin.com/in/clementdelangue</t>
  </si>
  <si>
    <t>AI Platform</t>
  </si>
  <si>
    <t>Clement Delangue</t>
  </si>
  <si>
    <t>huggingface.co</t>
  </si>
  <si>
    <t>Synthesia</t>
  </si>
  <si>
    <t>linkedin.com/in/victorriparbelli</t>
  </si>
  <si>
    <t>AI Video</t>
  </si>
  <si>
    <t>Victor Riparbelli</t>
  </si>
  <si>
    <t>synthesia.io</t>
  </si>
  <si>
    <t>ElevenLabs</t>
  </si>
  <si>
    <t>linkedin.com/in/matiii</t>
  </si>
  <si>
    <t>AI Voice</t>
  </si>
  <si>
    <t>Mati Staniszewski</t>
  </si>
  <si>
    <t>Head of Growth</t>
  </si>
  <si>
    <t>elevenlabs.io</t>
  </si>
  <si>
    <t>Celonis</t>
  </si>
  <si>
    <t>linkedin.com/in/alexander-rinke-10733061</t>
  </si>
  <si>
    <t>Process Mining</t>
  </si>
  <si>
    <t>Alex Rinke</t>
  </si>
  <si>
    <t>celonis.com</t>
  </si>
  <si>
    <t>Spendesk</t>
  </si>
  <si>
    <t>linkedin.com/in/josephsmith4</t>
  </si>
  <si>
    <t>FinOps</t>
  </si>
  <si>
    <t>Joseph Smith</t>
  </si>
  <si>
    <t>spendesk.com</t>
  </si>
  <si>
    <t>Tide</t>
  </si>
  <si>
    <t>linkedin.com/in/dr-oliver-prill-11022813</t>
  </si>
  <si>
    <t>Oliver Prill</t>
  </si>
  <si>
    <t>tide.co</t>
  </si>
  <si>
    <t>Sage</t>
  </si>
  <si>
    <t>linkedin.com/in/aaron-harris-7407b2</t>
  </si>
  <si>
    <t>ERP</t>
  </si>
  <si>
    <t>Aaron Harris</t>
  </si>
  <si>
    <t>Global CTO</t>
  </si>
  <si>
    <t>sage.com</t>
  </si>
  <si>
    <t>Odoo</t>
  </si>
  <si>
    <t>linkedin.com/in/fpodoo</t>
  </si>
  <si>
    <t>Belgium</t>
  </si>
  <si>
    <t>Fabien Pinckaers</t>
  </si>
  <si>
    <t>odoo.com</t>
  </si>
  <si>
    <t>WorkMotion</t>
  </si>
  <si>
    <t>linkedin.com/in/lebtig</t>
  </si>
  <si>
    <t>Carsten Lebtig</t>
  </si>
  <si>
    <t>Head of Revenue</t>
  </si>
  <si>
    <t>workmotion.com</t>
  </si>
  <si>
    <t>linkedin.com/in/marcelolebre</t>
  </si>
  <si>
    <t>Marcelo Lebre</t>
  </si>
  <si>
    <t>President</t>
  </si>
  <si>
    <t>remote.com</t>
  </si>
  <si>
    <t>HiBob</t>
  </si>
  <si>
    <t>linkedin.com/in/ronnizehavi</t>
  </si>
  <si>
    <t>Ronni Zehavi</t>
  </si>
  <si>
    <t>hibob.com</t>
  </si>
  <si>
    <t>Factorial</t>
  </si>
  <si>
    <t>linkedin.com/in/jordiromero</t>
  </si>
  <si>
    <t>Spain</t>
  </si>
  <si>
    <t>Jordi Romero</t>
  </si>
  <si>
    <t>factorialhr.com</t>
  </si>
  <si>
    <t>Dealroom</t>
  </si>
  <si>
    <t>linkedin.com/in/yoramdw</t>
  </si>
  <si>
    <t>Data</t>
  </si>
  <si>
    <t>Yoram Wijngaarde</t>
  </si>
  <si>
    <t>dealroom.co</t>
  </si>
  <si>
    <t>Tink</t>
  </si>
  <si>
    <t>linkedin.com/in/kjellendaniel</t>
  </si>
  <si>
    <t>Sweden</t>
  </si>
  <si>
    <t>Daniel Kjellén</t>
  </si>
  <si>
    <t>tink.com</t>
  </si>
  <si>
    <t>Elastic</t>
  </si>
  <si>
    <t>linkedin.com/in/markdodds2</t>
  </si>
  <si>
    <t>Search SaaS</t>
  </si>
  <si>
    <t>Mark Dodds</t>
  </si>
  <si>
    <t>elastic.co</t>
  </si>
  <si>
    <t>Datadog</t>
  </si>
  <si>
    <t>linkedin.com/in/blitzer</t>
  </si>
  <si>
    <t>Observability</t>
  </si>
  <si>
    <t>Adam Blitzer</t>
  </si>
  <si>
    <t>COO</t>
  </si>
  <si>
    <t>datadoghq.com</t>
  </si>
  <si>
    <t>Atlassian</t>
  </si>
  <si>
    <t>linkedin.com/in/rajeev-rajan</t>
  </si>
  <si>
    <t>DevTools</t>
  </si>
  <si>
    <t>Rajeev Rajan</t>
  </si>
  <si>
    <t>CTO</t>
  </si>
  <si>
    <t>atlassian.com</t>
  </si>
  <si>
    <t>Calendly</t>
  </si>
  <si>
    <r>
      <rPr>
        <color rgb="FF1155CC"/>
        <u/>
      </rPr>
      <t>linkedin.com/in/bawotona</t>
    </r>
  </si>
  <si>
    <t>Tope Awotona</t>
  </si>
  <si>
    <t>calendly.com</t>
  </si>
  <si>
    <t>Typeform</t>
  </si>
  <si>
    <t>linkedin.com/in/jayyoungchoi</t>
  </si>
  <si>
    <t>SaaS Forms</t>
  </si>
  <si>
    <t>Jay Choi</t>
  </si>
  <si>
    <t>typeform.com</t>
  </si>
  <si>
    <t>HelloFresh</t>
  </si>
  <si>
    <t>linkedin.com/in/dominik-richter-hellofresh</t>
  </si>
  <si>
    <t>FoodTech SaaS</t>
  </si>
  <si>
    <t>Dominik Richter</t>
  </si>
  <si>
    <t>hellofresh.com</t>
  </si>
  <si>
    <t>Shopify</t>
  </si>
  <si>
    <t>linkedin.com/in/harleyf</t>
  </si>
  <si>
    <t>E-commerce SaaS</t>
  </si>
  <si>
    <t>Harley Finkelstein</t>
  </si>
  <si>
    <t>shopify.com</t>
  </si>
  <si>
    <t>BigCommerce</t>
  </si>
  <si>
    <t>linkedin.com/in/travishess</t>
  </si>
  <si>
    <t>Travis Hess</t>
  </si>
  <si>
    <t>bigcommerce.com</t>
  </si>
  <si>
    <t>Klarna</t>
  </si>
  <si>
    <t>linkedin.com/in/davidfock</t>
  </si>
  <si>
    <t>David Fock</t>
  </si>
  <si>
    <t>Chief Product &amp; 
Design Officer</t>
  </si>
  <si>
    <t>klarna.com</t>
  </si>
  <si>
    <t>Stripe</t>
  </si>
  <si>
    <t>linkedin.com/in/patrickcollison</t>
  </si>
  <si>
    <t>Patrick Collison</t>
  </si>
  <si>
    <t>stripe.com</t>
  </si>
  <si>
    <t>Checkout.com</t>
  </si>
  <si>
    <t xml:space="preserve">linkedin.com/in/céline-dufétel-93a798 </t>
  </si>
  <si>
    <t>Céline Dufétel</t>
  </si>
  <si>
    <t>CFO</t>
  </si>
  <si>
    <t>checkout.com</t>
  </si>
  <si>
    <t>Wise</t>
  </si>
  <si>
    <t>linkedin.com/in/steve-naude</t>
  </si>
  <si>
    <t>Steve Naude</t>
  </si>
  <si>
    <t>wise.com</t>
  </si>
  <si>
    <t>Monzo</t>
  </si>
  <si>
    <t>linkedin.com/in/tsanil</t>
  </si>
  <si>
    <t>TS Anil</t>
  </si>
  <si>
    <t>Vice Chair</t>
  </si>
  <si>
    <t>monzo.com</t>
  </si>
  <si>
    <t>SumUp</t>
  </si>
  <si>
    <t>linkedin.com/in/daniel-klein-7114943b</t>
  </si>
  <si>
    <t>Daniel Klein</t>
  </si>
  <si>
    <t>sumup.com</t>
  </si>
  <si>
    <t>Doctolib</t>
  </si>
  <si>
    <t>linkedin.com/in/jurb</t>
  </si>
  <si>
    <t>HealthTech</t>
  </si>
  <si>
    <t>Jean-Urbain Hubau</t>
  </si>
  <si>
    <t>doctolib.com</t>
  </si>
  <si>
    <t>Alan</t>
  </si>
  <si>
    <t>linkedin.com/in/jcsamuelian</t>
  </si>
  <si>
    <t>InsurTech</t>
  </si>
  <si>
    <t>Jean-Charles Samuelian-Werve</t>
  </si>
  <si>
    <t>alan.com</t>
  </si>
  <si>
    <t>Zenara AI</t>
  </si>
  <si>
    <r>
      <rPr>
        <color rgb="FF1155CC"/>
        <u/>
      </rPr>
      <t>linkedin.com/in/ramusunkara</t>
    </r>
  </si>
  <si>
    <t>Ramu Sunkara</t>
  </si>
  <si>
    <t>alan.ai</t>
  </si>
  <si>
    <t>OVHcloud</t>
  </si>
  <si>
    <t>linkedin.com/in/benjaminrevcolevschi</t>
  </si>
  <si>
    <t>Cloud SaaS</t>
  </si>
  <si>
    <t>Benjamin Revcolevschi</t>
  </si>
  <si>
    <t>ovhcloud.com</t>
  </si>
  <si>
    <t>Scaleway</t>
  </si>
  <si>
    <t>linkedin.com/in/abermingham</t>
  </si>
  <si>
    <t>Arnaud de Bermingham</t>
  </si>
  <si>
    <t>founder</t>
  </si>
  <si>
    <t>scaleway.com</t>
  </si>
  <si>
    <t>Infobip</t>
  </si>
  <si>
    <r>
      <rPr>
        <color rgb="FF1155CC"/>
        <u/>
      </rPr>
      <t>linkedin.com/in/silvio-kutic-ab2b829</t>
    </r>
  </si>
  <si>
    <t>Croatia</t>
  </si>
  <si>
    <t>CPaaS</t>
  </si>
  <si>
    <t>Silvio Kutić</t>
  </si>
  <si>
    <t>infobip.com</t>
  </si>
  <si>
    <t>MessageBird</t>
  </si>
  <si>
    <t>linkedin.com/in/robertvis</t>
  </si>
  <si>
    <t>Robert Vis</t>
  </si>
  <si>
    <t>messagebird.com</t>
  </si>
  <si>
    <t>Twilio</t>
  </si>
  <si>
    <t>linkedin.com/in/jakemkanter</t>
  </si>
  <si>
    <t>Jake Kanter</t>
  </si>
  <si>
    <t>VP Sales</t>
  </si>
  <si>
    <t>twilio.com</t>
  </si>
  <si>
    <t>UiPath</t>
  </si>
  <si>
    <t>linkedin.com/in/markjgibbs</t>
  </si>
  <si>
    <t>Romania</t>
  </si>
  <si>
    <t>Automation SaaS</t>
  </si>
  <si>
    <t>Mark Gibbs</t>
  </si>
  <si>
    <t>uipath.com</t>
  </si>
  <si>
    <t>Automation Anywhere</t>
  </si>
  <si>
    <t>linkedin.com/in/jefftworek</t>
  </si>
  <si>
    <t>Jeff Tworek</t>
  </si>
  <si>
    <t>automationanywhere.com</t>
  </si>
  <si>
    <t>Celtra</t>
  </si>
  <si>
    <t>linkedin.com/in/oliverstewart</t>
  </si>
  <si>
    <t>Slovenia</t>
  </si>
  <si>
    <t>AdTech SaaS</t>
  </si>
  <si>
    <t>Olivier Stewart</t>
  </si>
  <si>
    <t>SVP Sales</t>
  </si>
  <si>
    <t>celtra.com</t>
  </si>
  <si>
    <t>Adform</t>
  </si>
  <si>
    <t>linkedin.com/in/josephdressler</t>
  </si>
  <si>
    <t>Joseph L. Dressler</t>
  </si>
  <si>
    <t>adform.com</t>
  </si>
  <si>
    <t>Tradeshift</t>
  </si>
  <si>
    <t>linkedin.com/in/ronlugo</t>
  </si>
  <si>
    <t>Procurement SaaS</t>
  </si>
  <si>
    <t>Ron Lugo</t>
  </si>
  <si>
    <t>tradeshift.com</t>
  </si>
  <si>
    <t>Basware</t>
  </si>
  <si>
    <r>
      <rPr>
        <color rgb="FF1155CC"/>
        <u/>
      </rPr>
      <t>linkedin.com/in/katarinapaasi</t>
    </r>
  </si>
  <si>
    <t>Finland</t>
  </si>
  <si>
    <t>Katarina Paasi</t>
  </si>
  <si>
    <t>SVP Global Revenue Operations</t>
  </si>
  <si>
    <t>basware.com</t>
  </si>
  <si>
    <t>Zalando</t>
  </si>
  <si>
    <t>linkedin.com/in/charuveenakg</t>
  </si>
  <si>
    <t>Charuveena K</t>
  </si>
  <si>
    <t>Senior Lead</t>
  </si>
  <si>
    <t>zalando.com</t>
  </si>
  <si>
    <t>Vinted</t>
  </si>
  <si>
    <t>linkedin.com/in/fredericngantcha</t>
  </si>
  <si>
    <t>Marketplace SaaS</t>
  </si>
  <si>
    <t>Frederic Ngantcha</t>
  </si>
  <si>
    <t>Digital Marketing Manager</t>
  </si>
  <si>
    <t>vinted.com</t>
  </si>
  <si>
    <t>Depop</t>
  </si>
  <si>
    <t>linkedin.com/in/gradil</t>
  </si>
  <si>
    <t>Anna Gradil</t>
  </si>
  <si>
    <t>Senior Director Sellers</t>
  </si>
  <si>
    <t>depop.com</t>
  </si>
  <si>
    <t>Bolt</t>
  </si>
  <si>
    <t>linkedin.com/in/markusvillig</t>
  </si>
  <si>
    <t>Mobility SaaS</t>
  </si>
  <si>
    <t>Markus Villig</t>
  </si>
  <si>
    <t>bolt.eu</t>
  </si>
  <si>
    <t>WiseTech Global</t>
  </si>
  <si>
    <t>linkedin.com/in/gene-gander-0a96238</t>
  </si>
  <si>
    <t>Logistics SaaS</t>
  </si>
  <si>
    <t>Gene Gander</t>
  </si>
  <si>
    <t xml:space="preserve">General Manager Global Sales </t>
  </si>
  <si>
    <t>wisetechglobal.com</t>
  </si>
  <si>
    <t>SaaS Labs</t>
  </si>
  <si>
    <t>SaaS Tools</t>
  </si>
  <si>
    <t>Gaurav Sharma</t>
  </si>
  <si>
    <t>saaslabs.com</t>
  </si>
  <si>
    <t>PandaDoc</t>
  </si>
  <si>
    <t>linkedin.com/in/yannq</t>
  </si>
  <si>
    <t>Document SaaS</t>
  </si>
  <si>
    <t>Yann Q</t>
  </si>
  <si>
    <t>Territory Manager</t>
  </si>
  <si>
    <t>pandadoc.com</t>
  </si>
  <si>
    <t>DocuSign</t>
  </si>
  <si>
    <t>linkedin.com/in/paula-hansen-20a7113</t>
  </si>
  <si>
    <t>Paula Hansen</t>
  </si>
  <si>
    <t>docusign.com</t>
  </si>
  <si>
    <t>Dropbox</t>
  </si>
  <si>
    <r>
      <rPr>
        <color rgb="FF1155CC"/>
        <u/>
      </rPr>
      <t>linkedin.com/in/eric-webster-70a08b5</t>
    </r>
  </si>
  <si>
    <t>Storage SaaS</t>
  </si>
  <si>
    <t>Eric Webster</t>
  </si>
  <si>
    <t>Chief Business Officer</t>
  </si>
  <si>
    <t>dropbox.com</t>
  </si>
  <si>
    <t>Box</t>
  </si>
  <si>
    <r>
      <rPr>
        <color rgb="FF1155CC"/>
        <u/>
      </rPr>
      <t>linkedin.com/in/jeff-nuzum-3306603</t>
    </r>
  </si>
  <si>
    <t>Jeff Nuzum</t>
  </si>
  <si>
    <t>box.com</t>
  </si>
  <si>
    <t>Slack</t>
  </si>
  <si>
    <t>linkedin.com/in/butterfield</t>
  </si>
  <si>
    <t>Stewart Butterfield</t>
  </si>
  <si>
    <t>slack.com</t>
  </si>
  <si>
    <t>Zoom</t>
  </si>
  <si>
    <r>
      <rPr>
        <color rgb="FF1155CC"/>
        <u/>
      </rPr>
      <t>linkedin.com/in/ggeddes</t>
    </r>
  </si>
  <si>
    <t>Communication SaaS</t>
  </si>
  <si>
    <t>Graeme Geddes</t>
  </si>
  <si>
    <t>Chief Sales &amp; Growth Officer</t>
  </si>
  <si>
    <t>zoom.us</t>
  </si>
  <si>
    <t>Ataccama</t>
  </si>
  <si>
    <t>linkedin.com/in/jamal-shakir-6bab5b4a</t>
  </si>
  <si>
    <t>Czechia</t>
  </si>
  <si>
    <t>Data SaaS</t>
  </si>
  <si>
    <t>Jamal Shakir</t>
  </si>
  <si>
    <t>ataccama.com</t>
  </si>
  <si>
    <t>Semrush</t>
  </si>
  <si>
    <t>linkedin.com/in/michaelcastellani</t>
  </si>
  <si>
    <t>MarTech</t>
  </si>
  <si>
    <t>Mike Castellani</t>
  </si>
  <si>
    <t>semrush.com</t>
  </si>
  <si>
    <t>Ahrefs</t>
  </si>
  <si>
    <r>
      <rPr>
        <color rgb="FF1155CC"/>
        <u/>
      </rPr>
      <t>linkedin.com/in/sam-o-84593014</t>
    </r>
  </si>
  <si>
    <t>Singapore/UK</t>
  </si>
  <si>
    <t>SEO SaaS</t>
  </si>
  <si>
    <t>Sam O.</t>
  </si>
  <si>
    <t>VP of Marketing</t>
  </si>
  <si>
    <t>ahrefs.com</t>
  </si>
  <si>
    <t>SurferSEO</t>
  </si>
  <si>
    <r>
      <rPr>
        <color rgb="FF1155CC"/>
        <u/>
      </rPr>
      <t>linkedin.com/in/tamara-djurovic</t>
    </r>
  </si>
  <si>
    <t>Poland</t>
  </si>
  <si>
    <t>Tamara Djurovic</t>
  </si>
  <si>
    <t>Partnerships, Creators &amp; Affiliates</t>
  </si>
  <si>
    <t>surferseo.com</t>
  </si>
  <si>
    <t>Hotjar</t>
  </si>
  <si>
    <t>linkedin.com/in/celinemaher</t>
  </si>
  <si>
    <t>Malta</t>
  </si>
  <si>
    <t>Analytics SaaS</t>
  </si>
  <si>
    <t>Celine Maher</t>
  </si>
  <si>
    <t>hotjar.com</t>
  </si>
  <si>
    <t>Mixpanel</t>
  </si>
  <si>
    <r>
      <rPr>
        <color rgb="FF1155CC"/>
        <u/>
      </rPr>
      <t>linkedin.com/in/damian-gona-466ab121</t>
    </r>
  </si>
  <si>
    <t>Damian Gona</t>
  </si>
  <si>
    <t>mixpanel.com</t>
  </si>
  <si>
    <t>Artic Wolf</t>
  </si>
  <si>
    <t>linkedin.com/in/willcmay</t>
  </si>
  <si>
    <t>Product Analytics</t>
  </si>
  <si>
    <t>Will May</t>
  </si>
  <si>
    <t>pendo.io</t>
  </si>
  <si>
    <t>Looker</t>
  </si>
  <si>
    <t>linkedin.com/in/mikeszelong</t>
  </si>
  <si>
    <t>BI SaaS</t>
  </si>
  <si>
    <t>Mike Szelong</t>
  </si>
  <si>
    <t>Head of Sales</t>
  </si>
  <si>
    <t>looker.com</t>
  </si>
  <si>
    <t>Zenlytic</t>
  </si>
  <si>
    <t>linkedin.com/in/zoejj</t>
  </si>
  <si>
    <t>USA/EU</t>
  </si>
  <si>
    <t>John Jensen</t>
  </si>
  <si>
    <t>tableau.com</t>
  </si>
  <si>
    <t>Microsoft</t>
  </si>
  <si>
    <t>linkedin.com/in/nick-parker-0007aa46</t>
  </si>
  <si>
    <t>Nick Parker</t>
  </si>
  <si>
    <t xml:space="preserve"> EVP and Chief Business Officer</t>
  </si>
  <si>
    <t>powerbi.microsoft.com</t>
  </si>
  <si>
    <t>Anna Müller</t>
  </si>
  <si>
    <t>https://linkedin.com/in/personio-vp-sales</t>
  </si>
  <si>
    <t>Marc Dubois</t>
  </si>
  <si>
    <t>https://linkedin.com/in/qonto-cro</t>
  </si>
  <si>
    <t>Sofia Hansen</t>
  </si>
  <si>
    <t>https://linkedin.com/in/pleo-revenue</t>
  </si>
  <si>
    <t>Jan de Vries</t>
  </si>
  <si>
    <t>https://linkedin.com/in/mollie-sales</t>
  </si>
  <si>
    <t>Lucas Meyer</t>
  </si>
  <si>
    <t>https://linkedin.com/in/adyen-cro</t>
  </si>
  <si>
    <t>Emma Schneider</t>
  </si>
  <si>
    <t>https://linkedin.com/in/n26-growth</t>
  </si>
  <si>
    <t>Oliver Brown</t>
  </si>
  <si>
    <t>https://linkedin.com/in/revolut-cro</t>
  </si>
  <si>
    <t>Claire Martin</t>
  </si>
  <si>
    <t>https://linkedin.com/in/aircall-vp</t>
  </si>
  <si>
    <t>James Wilson</t>
  </si>
  <si>
    <t>https://linkedin.com/in/cognism-revenue</t>
  </si>
  <si>
    <t>Laura Fischer</t>
  </si>
  <si>
    <t>https://linkedin.com/in/dealfront-vp</t>
  </si>
  <si>
    <t>Noa Cohen</t>
  </si>
  <si>
    <t>https://linkedin.com/in/lusha-growth</t>
  </si>
  <si>
    <t>Martin Kask</t>
  </si>
  <si>
    <t>https://linkedin.com/in/pipedrive-sales</t>
  </si>
  <si>
    <t>John Miller</t>
  </si>
  <si>
    <t>https://linkedin.com/in/hubspot-cro</t>
  </si>
  <si>
    <t>Elena Novak</t>
  </si>
  <si>
    <t>https://linkedin.com/in/miro-sales</t>
  </si>
  <si>
    <t>David Kim</t>
  </si>
  <si>
    <t>https://linkedin.com/in/notion-cro</t>
  </si>
  <si>
    <t>Sarah Lee</t>
  </si>
  <si>
    <t>https://linkedin.com/in/figma-sales</t>
  </si>
  <si>
    <t>Tom Adams</t>
  </si>
  <si>
    <t>https://linkedin.com/in/gitlab-revenue</t>
  </si>
  <si>
    <t>Anna Brown</t>
  </si>
  <si>
    <t>https://linkedin.com/in/snyk-cro</t>
  </si>
  <si>
    <t>Mark Taylor</t>
  </si>
  <si>
    <t>https://linkedin.com/in/darktrace-sales</t>
  </si>
  <si>
    <t>Emily White</t>
  </si>
  <si>
    <t>https://linkedin.com/in/onetrust-cro</t>
  </si>
  <si>
    <t>Jack Murphy</t>
  </si>
  <si>
    <t>https://linkedin.com/in/tines-revenue</t>
  </si>
  <si>
    <t>Mantas J</t>
  </si>
  <si>
    <t>https://linkedin.com/in/nord-sales</t>
  </si>
  <si>
    <t>Julia Weber</t>
  </si>
  <si>
    <t>https://linkedin.com/in/deepl-cro</t>
  </si>
  <si>
    <t>Arthur Blanc</t>
  </si>
  <si>
    <t>https://linkedin.com/in/mistral-sales</t>
  </si>
  <si>
    <t>Thomas Wolf</t>
  </si>
  <si>
    <t>https://linkedin.com/in/huggingface-revenue</t>
  </si>
  <si>
    <t>Laura Scott</t>
  </si>
  <si>
    <t>https://linkedin.com/in/synthesia-sales</t>
  </si>
  <si>
    <t>Peter Novak</t>
  </si>
  <si>
    <t>https://linkedin.com/in/elevenlabs-growth</t>
  </si>
  <si>
    <t>Daniel Braun</t>
  </si>
  <si>
    <t>https://linkedin.com/in/celonis-cro</t>
  </si>
  <si>
    <t>Marie Laurent</t>
  </si>
  <si>
    <t>https://linkedin.com/in/spendesk-sales</t>
  </si>
  <si>
    <t>James Cooper</t>
  </si>
  <si>
    <t>https://linkedin.com/in/tide-revenue</t>
  </si>
  <si>
    <t>Robert King</t>
  </si>
  <si>
    <t>https://linkedin.com/in/sage-cro</t>
  </si>
  <si>
    <t>Lucas Bernard</t>
  </si>
  <si>
    <t>https://linkedin.com/in/odoo-sales</t>
  </si>
  <si>
    <t>Sophie Klein</t>
  </si>
  <si>
    <t>https://linkedin.com/in/workmotion-revenue</t>
  </si>
  <si>
    <t>Daniel Scott</t>
  </si>
  <si>
    <t>https://linkedin.com/in/remote-sales</t>
  </si>
  <si>
    <t>Michael Green</t>
  </si>
  <si>
    <t>https://linkedin.com/in/hibob-cro</t>
  </si>
  <si>
    <t>Laura Ruiz</t>
  </si>
  <si>
    <t>https://linkedin.com/in/factorial-sales</t>
  </si>
  <si>
    <t>Peter Janssen</t>
  </si>
  <si>
    <t>https://linkedin.com/in/dealroom-growth</t>
  </si>
  <si>
    <t>Erik Larsson</t>
  </si>
  <si>
    <t>https://linkedin.com/in/tink-revenue</t>
  </si>
  <si>
    <t>John Smith</t>
  </si>
  <si>
    <t>https://linkedin.com/in/elastic-cro</t>
  </si>
  <si>
    <t>Sarah Johnson</t>
  </si>
  <si>
    <t>https://linkedin.com/in/datadog-sales</t>
  </si>
  <si>
    <t>Mike Cannon</t>
  </si>
  <si>
    <t>https://linkedin.com/in/atlassian-cro</t>
  </si>
  <si>
    <t>Emma Clarke</t>
  </si>
  <si>
    <t>https://linkedin.com/in/calendly-sales</t>
  </si>
  <si>
    <t>Marc Lopez</t>
  </si>
  <si>
    <t>https://linkedin.com/in/typeform-revenue</t>
  </si>
  <si>
    <t>Sophie Wagner</t>
  </si>
  <si>
    <t>https://linkedin.com/in/hellofresh-cro</t>
  </si>
  <si>
    <t>John Carter</t>
  </si>
  <si>
    <t>https://linkedin.com/in/shopify-sales</t>
  </si>
  <si>
    <t>Lisa Brown</t>
  </si>
  <si>
    <t>https://linkedin.com/in/bigcommerce-growth</t>
  </si>
  <si>
    <t>Erik Svensson</t>
  </si>
  <si>
    <t>https://linkedin.com/in/klarna-cro</t>
  </si>
  <si>
    <t>Patrick O’Neill</t>
  </si>
  <si>
    <t>https://linkedin.com/in/stripe-sales</t>
  </si>
  <si>
    <t>Marie Dubois</t>
  </si>
  <si>
    <t>https://linkedin.com/in/checkout-revenue</t>
  </si>
  <si>
    <t>Tom Harris</t>
  </si>
  <si>
    <t>https://linkedin.com/in/wise-cro</t>
  </si>
  <si>
    <t>Anna Green</t>
  </si>
  <si>
    <t>https://linkedin.com/in/monzo-sales</t>
  </si>
  <si>
    <t>Peter Klein</t>
  </si>
  <si>
    <t>https://linkedin.com/in/sumup-growth</t>
  </si>
  <si>
    <t>Claire Moreau</t>
  </si>
  <si>
    <t>https://linkedin.com/in/doctolib-cro</t>
  </si>
  <si>
    <t>Julien Martin</t>
  </si>
  <si>
    <t>https://linkedin.com/in/alan-sales</t>
  </si>
  <si>
    <t>Alan AI</t>
  </si>
  <si>
    <t>Sarah Wilson</t>
  </si>
  <si>
    <t>https://linkedin.com/in/alan-ai-revenue</t>
  </si>
  <si>
    <t>Marc Lefevre</t>
  </si>
  <si>
    <t>https://linkedin.com/in/ovh-cro</t>
  </si>
  <si>
    <t>Antoine Bernard</t>
  </si>
  <si>
    <t>https://linkedin.com/in/scaleway-sales</t>
  </si>
  <si>
    <t>Marko Petrovic</t>
  </si>
  <si>
    <t>https://linkedin.com/in/infobip-revenue</t>
  </si>
  <si>
    <t>Lucas van Dijk</t>
  </si>
  <si>
    <t>https://linkedin.com/in/messagebird-cro</t>
  </si>
  <si>
    <t>David Miller</t>
  </si>
  <si>
    <t>https://linkedin.com/in/twilio-sales</t>
  </si>
  <si>
    <t>Andrei Popescu</t>
  </si>
  <si>
    <t>https://linkedin.com/in/uipath-cro</t>
  </si>
  <si>
    <t>Michael Stone</t>
  </si>
  <si>
    <t>https://linkedin.com/in/automation-revenue</t>
  </si>
  <si>
    <t>Nina Novak</t>
  </si>
  <si>
    <t>https://linkedin.com/in/celtra-sales</t>
  </si>
  <si>
    <t>Peter Jensen</t>
  </si>
  <si>
    <t>https://linkedin.com/in/adform-cro</t>
  </si>
  <si>
    <t>Laura Nielsen</t>
  </si>
  <si>
    <t>https://linkedin.com/in/tradeshift-revenue</t>
  </si>
  <si>
    <t>Mikko Laine</t>
  </si>
  <si>
    <t>https://linkedin.com/in/basware-sales</t>
  </si>
  <si>
    <t>Anna Schmidt</t>
  </si>
  <si>
    <t>https://linkedin.com/in/zalando-cro</t>
  </si>
  <si>
    <t>Justina Kazlauskas</t>
  </si>
  <si>
    <t>https://linkedin.com/in/vinted-growth</t>
  </si>
  <si>
    <t>Liam Carter</t>
  </si>
  <si>
    <t>https://linkedin.com/in/depop-sales</t>
  </si>
  <si>
    <t>Markus Kask</t>
  </si>
  <si>
    <t>https://linkedin.com/in/bolt-cro</t>
  </si>
  <si>
    <t>WiseTech</t>
  </si>
  <si>
    <t>John Taylor</t>
  </si>
  <si>
    <t>https://linkedin.com/in/wisetech-revenue</t>
  </si>
  <si>
    <t>Alex Brown</t>
  </si>
  <si>
    <t>https://linkedin.com/in/saaslabs-sales</t>
  </si>
  <si>
    <t>https://linkedin.com/in/pandadoc-growth</t>
  </si>
  <si>
    <t>James Scott</t>
  </si>
  <si>
    <t>https://linkedin.com/in/docusign-cro</t>
  </si>
  <si>
    <t>Anna Lee</t>
  </si>
  <si>
    <t>https://linkedin.com/in/dropbox-sales</t>
  </si>
  <si>
    <t>Mark Wilson</t>
  </si>
  <si>
    <t>https://linkedin.com/in/box-revenue</t>
  </si>
  <si>
    <t>https://linkedin.com/in/slack-cro</t>
  </si>
  <si>
    <t>David Brown</t>
  </si>
  <si>
    <t>https://linkedin.com/in/zoom-sales</t>
  </si>
  <si>
    <t>https://linkedin.com/in/ataccama-revenue</t>
  </si>
  <si>
    <t>Olga Petrova</t>
  </si>
  <si>
    <t>https://linkedin.com/in/semrush-cro</t>
  </si>
  <si>
    <t>Tom Lee</t>
  </si>
  <si>
    <t>https://linkedin.com/in/ahrefs-sales</t>
  </si>
  <si>
    <t>Jakub Nowak</t>
  </si>
  <si>
    <t>https://linkedin.com/in/surferseo-growth</t>
  </si>
  <si>
    <t>Emma Carter</t>
  </si>
  <si>
    <t>https://linkedin.com/in/hotjar-cro</t>
  </si>
  <si>
    <t>John Davis</t>
  </si>
  <si>
    <t>https://linkedin.com/in/mixpanel-sales</t>
  </si>
  <si>
    <t>Pendo</t>
  </si>
  <si>
    <t>Sarah White</t>
  </si>
  <si>
    <t>https://linkedin.com/in/pendo-revenue</t>
  </si>
  <si>
    <t>Michael Scott</t>
  </si>
  <si>
    <t>https://linkedin.com/in/looker-cro</t>
  </si>
  <si>
    <t>Tableau</t>
  </si>
  <si>
    <t>Laura Brown</t>
  </si>
  <si>
    <t>https://linkedin.com/in/tableau-sales</t>
  </si>
  <si>
    <t>Power BI</t>
  </si>
  <si>
    <t>John Adams</t>
  </si>
  <si>
    <t>https://linkedin.com/in/powerbi-revenue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</si>
</sst>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rgb="FF000000"/>
      <name val="System-ui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linkedin.com/in/blitzer" TargetMode="External"/><Relationship Id="rId84" Type="http://schemas.openxmlformats.org/officeDocument/2006/relationships/hyperlink" Target="http://linkedin.com/in/mikeszelong" TargetMode="External"/><Relationship Id="rId83" Type="http://schemas.openxmlformats.org/officeDocument/2006/relationships/hyperlink" Target="http://linkedin.com/in/willcmay" TargetMode="External"/><Relationship Id="rId42" Type="http://schemas.openxmlformats.org/officeDocument/2006/relationships/hyperlink" Target="https://www.linkedin.com/in/bawotona/" TargetMode="External"/><Relationship Id="rId86" Type="http://schemas.openxmlformats.org/officeDocument/2006/relationships/hyperlink" Target="http://linkedin.com/in/nick-parker-0007aa46" TargetMode="External"/><Relationship Id="rId41" Type="http://schemas.openxmlformats.org/officeDocument/2006/relationships/hyperlink" Target="http://linkedin.com/in/rajeev-rajan" TargetMode="External"/><Relationship Id="rId85" Type="http://schemas.openxmlformats.org/officeDocument/2006/relationships/hyperlink" Target="http://linkedin.com/in/zoejj" TargetMode="External"/><Relationship Id="rId44" Type="http://schemas.openxmlformats.org/officeDocument/2006/relationships/hyperlink" Target="http://linkedin.com/in/dominik-richter-hellofresh" TargetMode="External"/><Relationship Id="rId43" Type="http://schemas.openxmlformats.org/officeDocument/2006/relationships/hyperlink" Target="http://linkedin.com/in/jayyoungchoi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://linkedin.com/in/travishess" TargetMode="External"/><Relationship Id="rId45" Type="http://schemas.openxmlformats.org/officeDocument/2006/relationships/hyperlink" Target="http://linkedin.com/in/harleyf" TargetMode="External"/><Relationship Id="rId80" Type="http://schemas.openxmlformats.org/officeDocument/2006/relationships/hyperlink" Target="https://www.linkedin.com/in/tamara-djurovic/" TargetMode="External"/><Relationship Id="rId82" Type="http://schemas.openxmlformats.org/officeDocument/2006/relationships/hyperlink" Target="https://www.linkedin.com/in/damian-gona-466ab121/" TargetMode="External"/><Relationship Id="rId81" Type="http://schemas.openxmlformats.org/officeDocument/2006/relationships/hyperlink" Target="http://linkedin.com/in/celinemaher" TargetMode="External"/><Relationship Id="rId1" Type="http://schemas.openxmlformats.org/officeDocument/2006/relationships/hyperlink" Target="http://linkedin.com/in/philip-lacor-3a4167" TargetMode="External"/><Relationship Id="rId2" Type="http://schemas.openxmlformats.org/officeDocument/2006/relationships/hyperlink" Target="http://linkedin.com/in/giacomoruggiero" TargetMode="External"/><Relationship Id="rId3" Type="http://schemas.openxmlformats.org/officeDocument/2006/relationships/hyperlink" Target="http://linkedin.com/in/pedrosousalves" TargetMode="External"/><Relationship Id="rId4" Type="http://schemas.openxmlformats.org/officeDocument/2006/relationships/hyperlink" Target="http://linkedin.com/in/rickemondts" TargetMode="External"/><Relationship Id="rId9" Type="http://schemas.openxmlformats.org/officeDocument/2006/relationships/hyperlink" Target="http://linkedin.com/in/kfmcintyre" TargetMode="External"/><Relationship Id="rId48" Type="http://schemas.openxmlformats.org/officeDocument/2006/relationships/hyperlink" Target="http://linkedin.com/in/patrickcollison" TargetMode="External"/><Relationship Id="rId47" Type="http://schemas.openxmlformats.org/officeDocument/2006/relationships/hyperlink" Target="http://linkedin.com/in/davidfock" TargetMode="External"/><Relationship Id="rId49" Type="http://schemas.openxmlformats.org/officeDocument/2006/relationships/hyperlink" Target="http://linkedin.com/in/steve-naude" TargetMode="External"/><Relationship Id="rId5" Type="http://schemas.openxmlformats.org/officeDocument/2006/relationships/hyperlink" Target="http://linkedin.com/in/ingo-uytdehaage-559a9133" TargetMode="External"/><Relationship Id="rId6" Type="http://schemas.openxmlformats.org/officeDocument/2006/relationships/hyperlink" Target="https://www.linkedin.com/in/marcus-w-mosen-295887/" TargetMode="External"/><Relationship Id="rId7" Type="http://schemas.openxmlformats.org/officeDocument/2006/relationships/hyperlink" Target="http://linkedin.com/in/alan-chang-b810a295" TargetMode="External"/><Relationship Id="rId8" Type="http://schemas.openxmlformats.org/officeDocument/2006/relationships/hyperlink" Target="http://linkedin.com/in/olivier-pailhes" TargetMode="External"/><Relationship Id="rId73" Type="http://schemas.openxmlformats.org/officeDocument/2006/relationships/hyperlink" Target="https://www.linkedin.com/in/eric-webster-70a08b5/" TargetMode="External"/><Relationship Id="rId72" Type="http://schemas.openxmlformats.org/officeDocument/2006/relationships/hyperlink" Target="http://linkedin.com/in/paula-hansen-20a7113" TargetMode="External"/><Relationship Id="rId31" Type="http://schemas.openxmlformats.org/officeDocument/2006/relationships/hyperlink" Target="http://linkedin.com/in/aaron-harris-7407b2" TargetMode="External"/><Relationship Id="rId75" Type="http://schemas.openxmlformats.org/officeDocument/2006/relationships/hyperlink" Target="http://linkedin.com/in/butterfield" TargetMode="External"/><Relationship Id="rId30" Type="http://schemas.openxmlformats.org/officeDocument/2006/relationships/hyperlink" Target="http://linkedin.com/in/dr-oliver-prill-11022813" TargetMode="External"/><Relationship Id="rId74" Type="http://schemas.openxmlformats.org/officeDocument/2006/relationships/hyperlink" Target="https://www.linkedin.com/in/jeff-nuzum-3306603/" TargetMode="External"/><Relationship Id="rId33" Type="http://schemas.openxmlformats.org/officeDocument/2006/relationships/hyperlink" Target="http://linkedin.com/in/lebtig" TargetMode="External"/><Relationship Id="rId77" Type="http://schemas.openxmlformats.org/officeDocument/2006/relationships/hyperlink" Target="http://linkedin.com/in/jamal-shakir-6bab5b4a" TargetMode="External"/><Relationship Id="rId32" Type="http://schemas.openxmlformats.org/officeDocument/2006/relationships/hyperlink" Target="http://linkedin.com/in/fpodoo" TargetMode="External"/><Relationship Id="rId76" Type="http://schemas.openxmlformats.org/officeDocument/2006/relationships/hyperlink" Target="https://www.linkedin.com/in/ggeddes/?lipi=urn%3Ali%3Apage%3Ad_flagship3_profile_view_base_contact_details%3Bd%2FODCp2%2FS6WseIx27gh1Lw%3D%3D" TargetMode="External"/><Relationship Id="rId35" Type="http://schemas.openxmlformats.org/officeDocument/2006/relationships/hyperlink" Target="http://linkedin.com/in/ronnizehavi" TargetMode="External"/><Relationship Id="rId79" Type="http://schemas.openxmlformats.org/officeDocument/2006/relationships/hyperlink" Target="https://www.linkedin.com/in/sam-o-84593014/" TargetMode="External"/><Relationship Id="rId34" Type="http://schemas.openxmlformats.org/officeDocument/2006/relationships/hyperlink" Target="http://linkedin.com/in/marcelolebre" TargetMode="External"/><Relationship Id="rId78" Type="http://schemas.openxmlformats.org/officeDocument/2006/relationships/hyperlink" Target="http://linkedin.com/in/michaelcastellani" TargetMode="External"/><Relationship Id="rId71" Type="http://schemas.openxmlformats.org/officeDocument/2006/relationships/hyperlink" Target="http://linkedin.com/in/yannq" TargetMode="External"/><Relationship Id="rId70" Type="http://schemas.openxmlformats.org/officeDocument/2006/relationships/hyperlink" Target="http://linkedin.com/in/gene-gander-0a96238" TargetMode="External"/><Relationship Id="rId37" Type="http://schemas.openxmlformats.org/officeDocument/2006/relationships/hyperlink" Target="http://linkedin.com/in/yoramdw" TargetMode="External"/><Relationship Id="rId36" Type="http://schemas.openxmlformats.org/officeDocument/2006/relationships/hyperlink" Target="http://linkedin.com/in/jordiromero" TargetMode="External"/><Relationship Id="rId39" Type="http://schemas.openxmlformats.org/officeDocument/2006/relationships/hyperlink" Target="http://linkedin.com/in/markdodds2" TargetMode="External"/><Relationship Id="rId38" Type="http://schemas.openxmlformats.org/officeDocument/2006/relationships/hyperlink" Target="http://linkedin.com/in/kjellendaniel" TargetMode="External"/><Relationship Id="rId62" Type="http://schemas.openxmlformats.org/officeDocument/2006/relationships/hyperlink" Target="http://linkedin.com/in/oliverstewart" TargetMode="External"/><Relationship Id="rId61" Type="http://schemas.openxmlformats.org/officeDocument/2006/relationships/hyperlink" Target="http://linkedin.com/in/jefftworek" TargetMode="External"/><Relationship Id="rId20" Type="http://schemas.openxmlformats.org/officeDocument/2006/relationships/hyperlink" Target="http://linkedin.com/in/john-heyman-6258838" TargetMode="External"/><Relationship Id="rId64" Type="http://schemas.openxmlformats.org/officeDocument/2006/relationships/hyperlink" Target="http://linkedin.com/in/ronlugo" TargetMode="External"/><Relationship Id="rId63" Type="http://schemas.openxmlformats.org/officeDocument/2006/relationships/hyperlink" Target="http://linkedin.com/in/josephdressler" TargetMode="External"/><Relationship Id="rId22" Type="http://schemas.openxmlformats.org/officeDocument/2006/relationships/hyperlink" Target="http://linkedin.com/in/vykintasmak" TargetMode="External"/><Relationship Id="rId66" Type="http://schemas.openxmlformats.org/officeDocument/2006/relationships/hyperlink" Target="http://linkedin.com/in/charuveenakg" TargetMode="External"/><Relationship Id="rId21" Type="http://schemas.openxmlformats.org/officeDocument/2006/relationships/hyperlink" Target="http://linkedin.com/in/eoinhinchy" TargetMode="External"/><Relationship Id="rId65" Type="http://schemas.openxmlformats.org/officeDocument/2006/relationships/hyperlink" Target="https://www.linkedin.com/in/katarinapaasi/" TargetMode="External"/><Relationship Id="rId24" Type="http://schemas.openxmlformats.org/officeDocument/2006/relationships/hyperlink" Target="http://linkedin.com/in/arthur-mensch" TargetMode="External"/><Relationship Id="rId68" Type="http://schemas.openxmlformats.org/officeDocument/2006/relationships/hyperlink" Target="http://linkedin.com/in/gradil" TargetMode="External"/><Relationship Id="rId23" Type="http://schemas.openxmlformats.org/officeDocument/2006/relationships/hyperlink" Target="http://linkedin.com/in/jarekkut" TargetMode="External"/><Relationship Id="rId67" Type="http://schemas.openxmlformats.org/officeDocument/2006/relationships/hyperlink" Target="http://linkedin.com/in/fredericngantcha" TargetMode="External"/><Relationship Id="rId60" Type="http://schemas.openxmlformats.org/officeDocument/2006/relationships/hyperlink" Target="http://linkedin.com/in/markjgibbs" TargetMode="External"/><Relationship Id="rId26" Type="http://schemas.openxmlformats.org/officeDocument/2006/relationships/hyperlink" Target="http://linkedin.com/in/victorriparbelli" TargetMode="External"/><Relationship Id="rId25" Type="http://schemas.openxmlformats.org/officeDocument/2006/relationships/hyperlink" Target="http://linkedin.com/in/clementdelangue" TargetMode="External"/><Relationship Id="rId69" Type="http://schemas.openxmlformats.org/officeDocument/2006/relationships/hyperlink" Target="http://linkedin.com/in/markusvillig" TargetMode="External"/><Relationship Id="rId28" Type="http://schemas.openxmlformats.org/officeDocument/2006/relationships/hyperlink" Target="http://linkedin.com/in/alexander-rinke-10733061" TargetMode="External"/><Relationship Id="rId27" Type="http://schemas.openxmlformats.org/officeDocument/2006/relationships/hyperlink" Target="http://linkedin.com/in/matiii" TargetMode="External"/><Relationship Id="rId29" Type="http://schemas.openxmlformats.org/officeDocument/2006/relationships/hyperlink" Target="http://linkedin.com/in/josephsmith4" TargetMode="External"/><Relationship Id="rId51" Type="http://schemas.openxmlformats.org/officeDocument/2006/relationships/hyperlink" Target="http://linkedin.com/in/daniel-klein-7114943b" TargetMode="External"/><Relationship Id="rId50" Type="http://schemas.openxmlformats.org/officeDocument/2006/relationships/hyperlink" Target="http://linkedin.com/in/tsanil" TargetMode="External"/><Relationship Id="rId53" Type="http://schemas.openxmlformats.org/officeDocument/2006/relationships/hyperlink" Target="http://linkedin.com/in/jcsamuelian" TargetMode="External"/><Relationship Id="rId52" Type="http://schemas.openxmlformats.org/officeDocument/2006/relationships/hyperlink" Target="http://linkedin.com/in/jurb" TargetMode="External"/><Relationship Id="rId11" Type="http://schemas.openxmlformats.org/officeDocument/2006/relationships/hyperlink" Target="http://linkedin.com/in/paulovcunha" TargetMode="External"/><Relationship Id="rId55" Type="http://schemas.openxmlformats.org/officeDocument/2006/relationships/hyperlink" Target="http://linkedin.com/in/benjaminrevcolevschi" TargetMode="External"/><Relationship Id="rId10" Type="http://schemas.openxmlformats.org/officeDocument/2006/relationships/hyperlink" Target="http://linkedin.com/in/dorin-hakakian-0a5221b6" TargetMode="External"/><Relationship Id="rId54" Type="http://schemas.openxmlformats.org/officeDocument/2006/relationships/hyperlink" Target="https://www.linkedin.com/in/ramusunkara/" TargetMode="External"/><Relationship Id="rId13" Type="http://schemas.openxmlformats.org/officeDocument/2006/relationships/hyperlink" Target="http://linkedin.com/in/ngennaro" TargetMode="External"/><Relationship Id="rId57" Type="http://schemas.openxmlformats.org/officeDocument/2006/relationships/hyperlink" Target="https://www.linkedin.com/in/silvio-kutic-ab2b829/" TargetMode="External"/><Relationship Id="rId12" Type="http://schemas.openxmlformats.org/officeDocument/2006/relationships/hyperlink" Target="http://linkedin.com/in/alisonelworthy" TargetMode="External"/><Relationship Id="rId56" Type="http://schemas.openxmlformats.org/officeDocument/2006/relationships/hyperlink" Target="http://linkedin.com/in/abermingham" TargetMode="External"/><Relationship Id="rId15" Type="http://schemas.openxmlformats.org/officeDocument/2006/relationships/hyperlink" Target="http://linkedin.com/in/shauntvoskanian" TargetMode="External"/><Relationship Id="rId59" Type="http://schemas.openxmlformats.org/officeDocument/2006/relationships/hyperlink" Target="http://linkedin.com/in/jakemkanter" TargetMode="External"/><Relationship Id="rId14" Type="http://schemas.openxmlformats.org/officeDocument/2006/relationships/hyperlink" Target="https://www.linkedin.com/in/erica-anderson-54b5878/" TargetMode="External"/><Relationship Id="rId58" Type="http://schemas.openxmlformats.org/officeDocument/2006/relationships/hyperlink" Target="http://linkedin.com/in/robertvis" TargetMode="External"/><Relationship Id="rId17" Type="http://schemas.openxmlformats.org/officeDocument/2006/relationships/hyperlink" Target="http://linkedin.com/in/isteward" TargetMode="External"/><Relationship Id="rId16" Type="http://schemas.openxmlformats.org/officeDocument/2006/relationships/hyperlink" Target="http://figma.com/" TargetMode="External"/><Relationship Id="rId19" Type="http://schemas.openxmlformats.org/officeDocument/2006/relationships/hyperlink" Target="http://linkedin.com/in/nicole-eagan-6b874a216" TargetMode="External"/><Relationship Id="rId18" Type="http://schemas.openxmlformats.org/officeDocument/2006/relationships/hyperlink" Target="http://linkedin.com/in/tom-nielsen-29a03b8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3.13"/>
    <col customWidth="1" min="6" max="6" width="14.38"/>
    <col customWidth="1" min="7" max="7" width="20.5"/>
    <col customWidth="1" min="15" max="15" width="17.13"/>
    <col customWidth="1" min="20" max="20" width="13.63"/>
    <col customWidth="1" min="25" max="25" width="4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2" t="s">
        <v>26</v>
      </c>
      <c r="C2" s="1" t="s">
        <v>27</v>
      </c>
      <c r="D2" s="1" t="s">
        <v>28</v>
      </c>
      <c r="E2" s="1">
        <v>2000.0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32</v>
      </c>
      <c r="K2" s="1" t="s">
        <v>32</v>
      </c>
      <c r="L2" s="1" t="s">
        <v>33</v>
      </c>
      <c r="M2" s="1" t="s">
        <v>33</v>
      </c>
      <c r="N2" s="3">
        <f t="shared" ref="N2:N89" si="1">IF(OR(ISNUMBER(SEARCH("SaaS",D2)),ISNUMBER(SEARCH("Tech",D2))),20,0)</f>
        <v>20</v>
      </c>
      <c r="O2" s="3">
        <f t="shared" ref="O2:O89" si="2">IF(E2&gt;=200,15,0)</f>
        <v>15</v>
      </c>
      <c r="P2" s="3">
        <f>IF(OR(C2="France",C2="Germany",C2="Italy",C2="Spain",C2="Netherlands",C2="Belgium",C2="Sweden",C2="Denmark",C2="Norway",C2="Finland",C2="Austria",C2="Switzerland",C2="Portugal",C2="Ireland",C2="Poland",C2="Malta"),10,0)</f>
        <v>10</v>
      </c>
      <c r="Q2" s="3">
        <f t="shared" ref="Q2:Q77" si="3">IF(OR(ISNUMBER(SEARCH("VP Sales",G2)),ISNUMBER(SEARCH("Head of Revenue",K2))),10,0)</f>
        <v>0</v>
      </c>
      <c r="R2" s="3">
        <f t="shared" ref="R2:R89" si="4">IF(I2="Yes",10,0)</f>
        <v>10</v>
      </c>
      <c r="S2" s="3">
        <f t="shared" ref="S2:S89" si="5">IF(J2="Yes",15,0)</f>
        <v>15</v>
      </c>
      <c r="T2" s="3">
        <f t="shared" ref="T2:T89" si="6">IF(K2="Yes",10,0)</f>
        <v>10</v>
      </c>
      <c r="U2" s="3">
        <f t="shared" ref="U2:U89" si="7">IF(L2="High",5,0)</f>
        <v>5</v>
      </c>
      <c r="V2" s="3">
        <f t="shared" ref="V2:V89" si="8">IF(OR(G2="VP Sales",G2="Head of Revenue",G2="CRO"),5,0)</f>
        <v>5</v>
      </c>
      <c r="W2" s="3">
        <f t="shared" ref="W2:W89" si="9">SUM(N2:V2)</f>
        <v>90</v>
      </c>
      <c r="X2" s="3" t="str">
        <f t="shared" ref="X2:X89" si="10">IF(W2&gt;=80,"🔥 HIGH",
IF(W2&gt;=60," MEDIUM",
" LOW"))</f>
        <v>🔥 HIGH</v>
      </c>
      <c r="Y2" s="3" t="str">
        <f t="shared" ref="Y2:Y89" si="11">IF(AND(I2="Yes",J2="Yes"),
"High growth signal: recent funding and active sales hiring",
IF(K2="Yes",
"Expansion opportunity: company entering new markets",
IF(L2="High",
"Strong market interest based on traffic growth",
"Good ICP fit")))</f>
        <v>High growth signal: recent funding and active sales hiring</v>
      </c>
    </row>
    <row r="3">
      <c r="A3" s="1" t="s">
        <v>34</v>
      </c>
      <c r="B3" s="2" t="s">
        <v>35</v>
      </c>
      <c r="C3" s="1" t="s">
        <v>36</v>
      </c>
      <c r="D3" s="1" t="s">
        <v>37</v>
      </c>
      <c r="E3" s="1">
        <v>1500.0</v>
      </c>
      <c r="F3" s="4" t="s">
        <v>38</v>
      </c>
      <c r="G3" s="1" t="s">
        <v>39</v>
      </c>
      <c r="H3" s="1" t="s">
        <v>40</v>
      </c>
      <c r="I3" s="1" t="s">
        <v>32</v>
      </c>
      <c r="J3" s="1" t="s">
        <v>32</v>
      </c>
      <c r="K3" s="1" t="s">
        <v>32</v>
      </c>
      <c r="L3" s="1" t="s">
        <v>33</v>
      </c>
      <c r="M3" s="1" t="s">
        <v>33</v>
      </c>
      <c r="N3" s="3">
        <f t="shared" si="1"/>
        <v>20</v>
      </c>
      <c r="O3" s="3">
        <f t="shared" si="2"/>
        <v>15</v>
      </c>
      <c r="P3" s="3">
        <f t="shared" ref="P3:P83" si="12">IF(OR(C3="France",C3="Germany",C3="Italy",C3="Spain",C3="Netherlands",C3="Belgium",C3="Sweden",C3="Denmark",C3="Norway",C3="Finland",C3="Austria",C3="Switzerland",C3="Portugal",C3="Ireland",C3="Poland"),10,0)</f>
        <v>10</v>
      </c>
      <c r="Q3" s="3">
        <f t="shared" si="3"/>
        <v>0</v>
      </c>
      <c r="R3" s="3">
        <f t="shared" si="4"/>
        <v>10</v>
      </c>
      <c r="S3" s="3">
        <f t="shared" si="5"/>
        <v>15</v>
      </c>
      <c r="T3" s="3">
        <f t="shared" si="6"/>
        <v>10</v>
      </c>
      <c r="U3" s="3">
        <f t="shared" si="7"/>
        <v>5</v>
      </c>
      <c r="V3" s="3">
        <f t="shared" si="8"/>
        <v>0</v>
      </c>
      <c r="W3" s="3">
        <f t="shared" si="9"/>
        <v>85</v>
      </c>
      <c r="X3" s="3" t="str">
        <f t="shared" si="10"/>
        <v>🔥 HIGH</v>
      </c>
      <c r="Y3" s="3" t="str">
        <f t="shared" si="11"/>
        <v>High growth signal: recent funding and active sales hiring</v>
      </c>
    </row>
    <row r="4">
      <c r="A4" s="1" t="s">
        <v>41</v>
      </c>
      <c r="B4" s="2" t="s">
        <v>42</v>
      </c>
      <c r="C4" s="1" t="s">
        <v>43</v>
      </c>
      <c r="D4" s="1" t="s">
        <v>37</v>
      </c>
      <c r="E4" s="1">
        <v>900.0</v>
      </c>
      <c r="F4" s="1" t="s">
        <v>44</v>
      </c>
      <c r="G4" s="1" t="s">
        <v>45</v>
      </c>
      <c r="H4" s="1" t="s">
        <v>46</v>
      </c>
      <c r="I4" s="1" t="s">
        <v>32</v>
      </c>
      <c r="J4" s="1" t="s">
        <v>32</v>
      </c>
      <c r="K4" s="1" t="s">
        <v>32</v>
      </c>
      <c r="L4" s="1" t="s">
        <v>33</v>
      </c>
      <c r="M4" s="1" t="s">
        <v>33</v>
      </c>
      <c r="N4" s="3">
        <f t="shared" si="1"/>
        <v>20</v>
      </c>
      <c r="O4" s="3">
        <f t="shared" si="2"/>
        <v>15</v>
      </c>
      <c r="P4" s="3">
        <f t="shared" si="12"/>
        <v>10</v>
      </c>
      <c r="Q4" s="3">
        <f t="shared" si="3"/>
        <v>0</v>
      </c>
      <c r="R4" s="3">
        <f t="shared" si="4"/>
        <v>10</v>
      </c>
      <c r="S4" s="3">
        <f t="shared" si="5"/>
        <v>15</v>
      </c>
      <c r="T4" s="3">
        <f t="shared" si="6"/>
        <v>10</v>
      </c>
      <c r="U4" s="3">
        <f t="shared" si="7"/>
        <v>5</v>
      </c>
      <c r="V4" s="3">
        <f t="shared" si="8"/>
        <v>0</v>
      </c>
      <c r="W4" s="3">
        <f t="shared" si="9"/>
        <v>85</v>
      </c>
      <c r="X4" s="3" t="str">
        <f t="shared" si="10"/>
        <v>🔥 HIGH</v>
      </c>
      <c r="Y4" s="3" t="str">
        <f t="shared" si="11"/>
        <v>High growth signal: recent funding and active sales hiring</v>
      </c>
    </row>
    <row r="5">
      <c r="A5" s="1" t="s">
        <v>47</v>
      </c>
      <c r="B5" s="2" t="s">
        <v>48</v>
      </c>
      <c r="C5" s="1" t="s">
        <v>49</v>
      </c>
      <c r="D5" s="1" t="s">
        <v>50</v>
      </c>
      <c r="E5" s="1">
        <v>800.0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32</v>
      </c>
      <c r="K5" s="1" t="s">
        <v>32</v>
      </c>
      <c r="L5" s="1" t="s">
        <v>33</v>
      </c>
      <c r="M5" s="1" t="s">
        <v>55</v>
      </c>
      <c r="N5" s="3">
        <f t="shared" si="1"/>
        <v>0</v>
      </c>
      <c r="O5" s="3">
        <f t="shared" si="2"/>
        <v>15</v>
      </c>
      <c r="P5" s="3">
        <f t="shared" si="12"/>
        <v>10</v>
      </c>
      <c r="Q5" s="3">
        <f t="shared" si="3"/>
        <v>0</v>
      </c>
      <c r="R5" s="3">
        <f t="shared" si="4"/>
        <v>0</v>
      </c>
      <c r="S5" s="3">
        <f t="shared" si="5"/>
        <v>15</v>
      </c>
      <c r="T5" s="3">
        <f t="shared" si="6"/>
        <v>10</v>
      </c>
      <c r="U5" s="3">
        <f t="shared" si="7"/>
        <v>5</v>
      </c>
      <c r="V5" s="3">
        <f t="shared" si="8"/>
        <v>0</v>
      </c>
      <c r="W5" s="3">
        <f t="shared" si="9"/>
        <v>55</v>
      </c>
      <c r="X5" s="3" t="str">
        <f t="shared" si="10"/>
        <v> LOW</v>
      </c>
      <c r="Y5" s="3" t="str">
        <f t="shared" si="11"/>
        <v>Expansion opportunity: company entering new markets</v>
      </c>
    </row>
    <row r="6">
      <c r="A6" s="1" t="s">
        <v>56</v>
      </c>
      <c r="B6" s="2" t="s">
        <v>57</v>
      </c>
      <c r="C6" s="1" t="s">
        <v>49</v>
      </c>
      <c r="D6" s="1" t="s">
        <v>50</v>
      </c>
      <c r="E6" s="1">
        <v>6000.0</v>
      </c>
      <c r="F6" s="1" t="s">
        <v>58</v>
      </c>
      <c r="G6" s="1" t="s">
        <v>59</v>
      </c>
      <c r="H6" s="1" t="s">
        <v>60</v>
      </c>
      <c r="I6" s="1" t="s">
        <v>54</v>
      </c>
      <c r="J6" s="1" t="s">
        <v>32</v>
      </c>
      <c r="K6" s="1" t="s">
        <v>32</v>
      </c>
      <c r="L6" s="1" t="s">
        <v>33</v>
      </c>
      <c r="M6" s="1" t="s">
        <v>33</v>
      </c>
      <c r="N6" s="3">
        <f t="shared" si="1"/>
        <v>0</v>
      </c>
      <c r="O6" s="3">
        <f t="shared" si="2"/>
        <v>15</v>
      </c>
      <c r="P6" s="3">
        <f t="shared" si="12"/>
        <v>10</v>
      </c>
      <c r="Q6" s="3">
        <f t="shared" si="3"/>
        <v>0</v>
      </c>
      <c r="R6" s="3">
        <f t="shared" si="4"/>
        <v>0</v>
      </c>
      <c r="S6" s="3">
        <f t="shared" si="5"/>
        <v>15</v>
      </c>
      <c r="T6" s="3">
        <f t="shared" si="6"/>
        <v>10</v>
      </c>
      <c r="U6" s="3">
        <f t="shared" si="7"/>
        <v>5</v>
      </c>
      <c r="V6" s="3">
        <f t="shared" si="8"/>
        <v>0</v>
      </c>
      <c r="W6" s="3">
        <f t="shared" si="9"/>
        <v>55</v>
      </c>
      <c r="X6" s="3" t="str">
        <f t="shared" si="10"/>
        <v> LOW</v>
      </c>
      <c r="Y6" s="3" t="str">
        <f t="shared" si="11"/>
        <v>Expansion opportunity: company entering new markets</v>
      </c>
    </row>
    <row r="7">
      <c r="A7" s="1" t="s">
        <v>61</v>
      </c>
      <c r="B7" s="5" t="s">
        <v>62</v>
      </c>
      <c r="C7" s="1" t="s">
        <v>27</v>
      </c>
      <c r="D7" s="1" t="s">
        <v>37</v>
      </c>
      <c r="E7" s="1">
        <v>1500.0</v>
      </c>
      <c r="F7" s="1" t="s">
        <v>63</v>
      </c>
      <c r="G7" s="1" t="s">
        <v>64</v>
      </c>
      <c r="H7" s="1" t="s">
        <v>65</v>
      </c>
      <c r="I7" s="1" t="s">
        <v>32</v>
      </c>
      <c r="J7" s="1" t="s">
        <v>32</v>
      </c>
      <c r="K7" s="1" t="s">
        <v>32</v>
      </c>
      <c r="L7" s="1" t="s">
        <v>33</v>
      </c>
      <c r="M7" s="1" t="s">
        <v>33</v>
      </c>
      <c r="N7" s="3">
        <f t="shared" si="1"/>
        <v>20</v>
      </c>
      <c r="O7" s="3">
        <f t="shared" si="2"/>
        <v>15</v>
      </c>
      <c r="P7" s="3">
        <f t="shared" si="12"/>
        <v>10</v>
      </c>
      <c r="Q7" s="3">
        <f t="shared" si="3"/>
        <v>0</v>
      </c>
      <c r="R7" s="3">
        <f t="shared" si="4"/>
        <v>10</v>
      </c>
      <c r="S7" s="3">
        <f t="shared" si="5"/>
        <v>15</v>
      </c>
      <c r="T7" s="3">
        <f t="shared" si="6"/>
        <v>10</v>
      </c>
      <c r="U7" s="3">
        <f t="shared" si="7"/>
        <v>5</v>
      </c>
      <c r="V7" s="3">
        <f t="shared" si="8"/>
        <v>0</v>
      </c>
      <c r="W7" s="3">
        <f t="shared" si="9"/>
        <v>85</v>
      </c>
      <c r="X7" s="3" t="str">
        <f t="shared" si="10"/>
        <v>🔥 HIGH</v>
      </c>
      <c r="Y7" s="3" t="str">
        <f t="shared" si="11"/>
        <v>High growth signal: recent funding and active sales hiring</v>
      </c>
    </row>
    <row r="8">
      <c r="A8" s="1" t="s">
        <v>66</v>
      </c>
      <c r="B8" s="2" t="s">
        <v>67</v>
      </c>
      <c r="C8" s="1" t="s">
        <v>68</v>
      </c>
      <c r="D8" s="1" t="s">
        <v>37</v>
      </c>
      <c r="E8" s="1">
        <v>8000.0</v>
      </c>
      <c r="F8" s="1" t="s">
        <v>69</v>
      </c>
      <c r="G8" s="1" t="s">
        <v>30</v>
      </c>
      <c r="H8" s="1" t="s">
        <v>70</v>
      </c>
      <c r="I8" s="1" t="s">
        <v>32</v>
      </c>
      <c r="J8" s="1" t="s">
        <v>32</v>
      </c>
      <c r="K8" s="1" t="s">
        <v>32</v>
      </c>
      <c r="L8" s="1" t="s">
        <v>33</v>
      </c>
      <c r="M8" s="1" t="s">
        <v>33</v>
      </c>
      <c r="N8" s="3">
        <f t="shared" si="1"/>
        <v>20</v>
      </c>
      <c r="O8" s="3">
        <f t="shared" si="2"/>
        <v>15</v>
      </c>
      <c r="P8" s="3">
        <f t="shared" si="12"/>
        <v>0</v>
      </c>
      <c r="Q8" s="3">
        <f t="shared" si="3"/>
        <v>0</v>
      </c>
      <c r="R8" s="3">
        <f t="shared" si="4"/>
        <v>10</v>
      </c>
      <c r="S8" s="3">
        <f t="shared" si="5"/>
        <v>15</v>
      </c>
      <c r="T8" s="3">
        <f t="shared" si="6"/>
        <v>10</v>
      </c>
      <c r="U8" s="3">
        <f t="shared" si="7"/>
        <v>5</v>
      </c>
      <c r="V8" s="3">
        <f t="shared" si="8"/>
        <v>5</v>
      </c>
      <c r="W8" s="3">
        <f t="shared" si="9"/>
        <v>80</v>
      </c>
      <c r="X8" s="3" t="str">
        <f t="shared" si="10"/>
        <v>🔥 HIGH</v>
      </c>
      <c r="Y8" s="3" t="str">
        <f t="shared" si="11"/>
        <v>High growth signal: recent funding and active sales hiring</v>
      </c>
    </row>
    <row r="9">
      <c r="A9" s="1" t="s">
        <v>71</v>
      </c>
      <c r="B9" s="2" t="s">
        <v>72</v>
      </c>
      <c r="C9" s="1" t="s">
        <v>36</v>
      </c>
      <c r="D9" s="1" t="s">
        <v>73</v>
      </c>
      <c r="E9" s="1">
        <v>800.0</v>
      </c>
      <c r="F9" s="1" t="s">
        <v>74</v>
      </c>
      <c r="G9" s="1" t="s">
        <v>75</v>
      </c>
      <c r="H9" s="1" t="s">
        <v>76</v>
      </c>
      <c r="I9" s="1" t="s">
        <v>32</v>
      </c>
      <c r="J9" s="1" t="s">
        <v>32</v>
      </c>
      <c r="K9" s="1" t="s">
        <v>32</v>
      </c>
      <c r="L9" s="1" t="s">
        <v>33</v>
      </c>
      <c r="M9" s="1" t="s">
        <v>33</v>
      </c>
      <c r="N9" s="3">
        <f t="shared" si="1"/>
        <v>20</v>
      </c>
      <c r="O9" s="3">
        <f t="shared" si="2"/>
        <v>15</v>
      </c>
      <c r="P9" s="3">
        <f t="shared" si="12"/>
        <v>10</v>
      </c>
      <c r="Q9" s="3">
        <f t="shared" si="3"/>
        <v>0</v>
      </c>
      <c r="R9" s="3">
        <f t="shared" si="4"/>
        <v>10</v>
      </c>
      <c r="S9" s="3">
        <f t="shared" si="5"/>
        <v>15</v>
      </c>
      <c r="T9" s="3">
        <f t="shared" si="6"/>
        <v>10</v>
      </c>
      <c r="U9" s="3">
        <f t="shared" si="7"/>
        <v>5</v>
      </c>
      <c r="V9" s="3">
        <f t="shared" si="8"/>
        <v>0</v>
      </c>
      <c r="W9" s="3">
        <f t="shared" si="9"/>
        <v>85</v>
      </c>
      <c r="X9" s="3" t="str">
        <f t="shared" si="10"/>
        <v>🔥 HIGH</v>
      </c>
      <c r="Y9" s="3" t="str">
        <f t="shared" si="11"/>
        <v>High growth signal: recent funding and active sales hiring</v>
      </c>
    </row>
    <row r="10">
      <c r="A10" s="1" t="s">
        <v>77</v>
      </c>
      <c r="B10" s="1" t="s">
        <v>78</v>
      </c>
      <c r="C10" s="1" t="s">
        <v>68</v>
      </c>
      <c r="D10" s="1" t="s">
        <v>79</v>
      </c>
      <c r="E10" s="1">
        <v>700.0</v>
      </c>
      <c r="F10" s="1" t="s">
        <v>80</v>
      </c>
      <c r="G10" s="1" t="s">
        <v>81</v>
      </c>
      <c r="H10" s="1" t="s">
        <v>82</v>
      </c>
      <c r="I10" s="1" t="s">
        <v>32</v>
      </c>
      <c r="J10" s="1" t="s">
        <v>32</v>
      </c>
      <c r="K10" s="1" t="s">
        <v>32</v>
      </c>
      <c r="L10" s="1" t="s">
        <v>33</v>
      </c>
      <c r="M10" s="1" t="s">
        <v>33</v>
      </c>
      <c r="N10" s="3">
        <f t="shared" si="1"/>
        <v>20</v>
      </c>
      <c r="O10" s="3">
        <f t="shared" si="2"/>
        <v>15</v>
      </c>
      <c r="P10" s="3">
        <f t="shared" si="12"/>
        <v>0</v>
      </c>
      <c r="Q10" s="3">
        <f t="shared" si="3"/>
        <v>0</v>
      </c>
      <c r="R10" s="3">
        <f t="shared" si="4"/>
        <v>10</v>
      </c>
      <c r="S10" s="3">
        <f t="shared" si="5"/>
        <v>15</v>
      </c>
      <c r="T10" s="3">
        <f t="shared" si="6"/>
        <v>10</v>
      </c>
      <c r="U10" s="3">
        <f t="shared" si="7"/>
        <v>5</v>
      </c>
      <c r="V10" s="3">
        <f t="shared" si="8"/>
        <v>0</v>
      </c>
      <c r="W10" s="3">
        <f t="shared" si="9"/>
        <v>75</v>
      </c>
      <c r="X10" s="3" t="str">
        <f t="shared" si="10"/>
        <v> MEDIUM</v>
      </c>
      <c r="Y10" s="3" t="str">
        <f t="shared" si="11"/>
        <v>High growth signal: recent funding and active sales hiring</v>
      </c>
    </row>
    <row r="11">
      <c r="A11" s="1" t="s">
        <v>83</v>
      </c>
      <c r="B11" s="2" t="s">
        <v>84</v>
      </c>
      <c r="C11" s="1" t="s">
        <v>27</v>
      </c>
      <c r="D11" s="1" t="s">
        <v>79</v>
      </c>
      <c r="E11" s="1">
        <v>400.0</v>
      </c>
      <c r="F11" s="1" t="s">
        <v>85</v>
      </c>
      <c r="G11" s="1" t="s">
        <v>59</v>
      </c>
      <c r="H11" s="1" t="s">
        <v>86</v>
      </c>
      <c r="I11" s="1" t="s">
        <v>32</v>
      </c>
      <c r="J11" s="1" t="s">
        <v>32</v>
      </c>
      <c r="K11" s="1" t="s">
        <v>32</v>
      </c>
      <c r="L11" s="1" t="s">
        <v>33</v>
      </c>
      <c r="M11" s="1" t="s">
        <v>33</v>
      </c>
      <c r="N11" s="3">
        <f t="shared" si="1"/>
        <v>20</v>
      </c>
      <c r="O11" s="3">
        <f t="shared" si="2"/>
        <v>15</v>
      </c>
      <c r="P11" s="3">
        <f t="shared" si="12"/>
        <v>10</v>
      </c>
      <c r="Q11" s="3">
        <f t="shared" si="3"/>
        <v>0</v>
      </c>
      <c r="R11" s="3">
        <f t="shared" si="4"/>
        <v>10</v>
      </c>
      <c r="S11" s="3">
        <f t="shared" si="5"/>
        <v>15</v>
      </c>
      <c r="T11" s="3">
        <f t="shared" si="6"/>
        <v>10</v>
      </c>
      <c r="U11" s="3">
        <f t="shared" si="7"/>
        <v>5</v>
      </c>
      <c r="V11" s="3">
        <f t="shared" si="8"/>
        <v>0</v>
      </c>
      <c r="W11" s="3">
        <f t="shared" si="9"/>
        <v>85</v>
      </c>
      <c r="X11" s="3" t="str">
        <f t="shared" si="10"/>
        <v>🔥 HIGH</v>
      </c>
      <c r="Y11" s="3" t="str">
        <f t="shared" si="11"/>
        <v>High growth signal: recent funding and active sales hiring</v>
      </c>
    </row>
    <row r="12">
      <c r="A12" s="1" t="s">
        <v>87</v>
      </c>
      <c r="B12" s="2" t="s">
        <v>88</v>
      </c>
      <c r="C12" s="1" t="s">
        <v>89</v>
      </c>
      <c r="D12" s="1" t="s">
        <v>79</v>
      </c>
      <c r="E12" s="1">
        <v>600.0</v>
      </c>
      <c r="F12" s="1" t="s">
        <v>90</v>
      </c>
      <c r="G12" s="1" t="s">
        <v>91</v>
      </c>
      <c r="H12" s="1" t="s">
        <v>92</v>
      </c>
      <c r="I12" s="1" t="s">
        <v>32</v>
      </c>
      <c r="J12" s="1" t="s">
        <v>32</v>
      </c>
      <c r="K12" s="1" t="s">
        <v>32</v>
      </c>
      <c r="L12" s="1" t="s">
        <v>33</v>
      </c>
      <c r="M12" s="1" t="s">
        <v>55</v>
      </c>
      <c r="N12" s="3">
        <f t="shared" si="1"/>
        <v>20</v>
      </c>
      <c r="O12" s="3">
        <f t="shared" si="2"/>
        <v>15</v>
      </c>
      <c r="P12" s="3">
        <f t="shared" si="12"/>
        <v>0</v>
      </c>
      <c r="Q12" s="3">
        <f t="shared" si="3"/>
        <v>0</v>
      </c>
      <c r="R12" s="3">
        <f t="shared" si="4"/>
        <v>10</v>
      </c>
      <c r="S12" s="3">
        <f t="shared" si="5"/>
        <v>15</v>
      </c>
      <c r="T12" s="3">
        <f t="shared" si="6"/>
        <v>10</v>
      </c>
      <c r="U12" s="3">
        <f t="shared" si="7"/>
        <v>5</v>
      </c>
      <c r="V12" s="3">
        <f t="shared" si="8"/>
        <v>0</v>
      </c>
      <c r="W12" s="3">
        <f t="shared" si="9"/>
        <v>75</v>
      </c>
      <c r="X12" s="3" t="str">
        <f t="shared" si="10"/>
        <v> MEDIUM</v>
      </c>
      <c r="Y12" s="3" t="str">
        <f t="shared" si="11"/>
        <v>High growth signal: recent funding and active sales hiring</v>
      </c>
    </row>
    <row r="13">
      <c r="A13" s="1" t="s">
        <v>93</v>
      </c>
      <c r="B13" s="2" t="s">
        <v>94</v>
      </c>
      <c r="C13" s="1" t="s">
        <v>95</v>
      </c>
      <c r="D13" s="1" t="s">
        <v>96</v>
      </c>
      <c r="E13" s="1">
        <v>900.0</v>
      </c>
      <c r="F13" s="1" t="s">
        <v>97</v>
      </c>
      <c r="G13" s="1" t="s">
        <v>59</v>
      </c>
      <c r="H13" s="1" t="s">
        <v>98</v>
      </c>
      <c r="I13" s="1" t="s">
        <v>54</v>
      </c>
      <c r="J13" s="1" t="s">
        <v>32</v>
      </c>
      <c r="K13" s="1" t="s">
        <v>32</v>
      </c>
      <c r="L13" s="1" t="s">
        <v>33</v>
      </c>
      <c r="M13" s="1" t="s">
        <v>55</v>
      </c>
      <c r="N13" s="3">
        <f t="shared" si="1"/>
        <v>0</v>
      </c>
      <c r="O13" s="3">
        <f t="shared" si="2"/>
        <v>15</v>
      </c>
      <c r="P13" s="3">
        <f t="shared" si="12"/>
        <v>0</v>
      </c>
      <c r="Q13" s="3">
        <f t="shared" si="3"/>
        <v>0</v>
      </c>
      <c r="R13" s="3">
        <f t="shared" si="4"/>
        <v>0</v>
      </c>
      <c r="S13" s="3">
        <f t="shared" si="5"/>
        <v>15</v>
      </c>
      <c r="T13" s="3">
        <f t="shared" si="6"/>
        <v>10</v>
      </c>
      <c r="U13" s="3">
        <f t="shared" si="7"/>
        <v>5</v>
      </c>
      <c r="V13" s="3">
        <f t="shared" si="8"/>
        <v>0</v>
      </c>
      <c r="W13" s="3">
        <f t="shared" si="9"/>
        <v>45</v>
      </c>
      <c r="X13" s="3" t="str">
        <f t="shared" si="10"/>
        <v> LOW</v>
      </c>
      <c r="Y13" s="3" t="str">
        <f t="shared" si="11"/>
        <v>Expansion opportunity: company entering new markets</v>
      </c>
    </row>
    <row r="14">
      <c r="A14" s="1" t="s">
        <v>99</v>
      </c>
      <c r="B14" s="2" t="s">
        <v>100</v>
      </c>
      <c r="C14" s="1" t="s">
        <v>101</v>
      </c>
      <c r="D14" s="1" t="s">
        <v>96</v>
      </c>
      <c r="E14" s="1">
        <v>7000.0</v>
      </c>
      <c r="F14" s="1" t="s">
        <v>102</v>
      </c>
      <c r="G14" s="1" t="s">
        <v>103</v>
      </c>
      <c r="H14" s="1" t="s">
        <v>104</v>
      </c>
      <c r="I14" s="1" t="s">
        <v>54</v>
      </c>
      <c r="J14" s="1" t="s">
        <v>32</v>
      </c>
      <c r="K14" s="1" t="s">
        <v>32</v>
      </c>
      <c r="L14" s="1" t="s">
        <v>33</v>
      </c>
      <c r="M14" s="1" t="s">
        <v>33</v>
      </c>
      <c r="N14" s="3">
        <f t="shared" si="1"/>
        <v>0</v>
      </c>
      <c r="O14" s="3">
        <f t="shared" si="2"/>
        <v>15</v>
      </c>
      <c r="P14" s="3">
        <f t="shared" si="12"/>
        <v>10</v>
      </c>
      <c r="Q14" s="3">
        <f t="shared" si="3"/>
        <v>0</v>
      </c>
      <c r="R14" s="3">
        <f t="shared" si="4"/>
        <v>0</v>
      </c>
      <c r="S14" s="3">
        <f t="shared" si="5"/>
        <v>15</v>
      </c>
      <c r="T14" s="3">
        <f t="shared" si="6"/>
        <v>10</v>
      </c>
      <c r="U14" s="3">
        <f t="shared" si="7"/>
        <v>5</v>
      </c>
      <c r="V14" s="3">
        <f t="shared" si="8"/>
        <v>0</v>
      </c>
      <c r="W14" s="3">
        <f t="shared" si="9"/>
        <v>55</v>
      </c>
      <c r="X14" s="3" t="str">
        <f t="shared" si="10"/>
        <v> LOW</v>
      </c>
      <c r="Y14" s="3" t="str">
        <f t="shared" si="11"/>
        <v>Expansion opportunity: company entering new markets</v>
      </c>
    </row>
    <row r="15">
      <c r="A15" s="1" t="s">
        <v>105</v>
      </c>
      <c r="B15" s="2" t="s">
        <v>106</v>
      </c>
      <c r="C15" s="1" t="s">
        <v>49</v>
      </c>
      <c r="D15" s="1" t="s">
        <v>107</v>
      </c>
      <c r="E15" s="1">
        <v>2000.0</v>
      </c>
      <c r="F15" s="1" t="s">
        <v>108</v>
      </c>
      <c r="G15" s="1" t="s">
        <v>30</v>
      </c>
      <c r="H15" s="1" t="s">
        <v>109</v>
      </c>
      <c r="I15" s="1" t="s">
        <v>32</v>
      </c>
      <c r="J15" s="1" t="s">
        <v>32</v>
      </c>
      <c r="K15" s="1" t="s">
        <v>32</v>
      </c>
      <c r="L15" s="1" t="s">
        <v>33</v>
      </c>
      <c r="M15" s="1" t="s">
        <v>33</v>
      </c>
      <c r="N15" s="3">
        <f t="shared" si="1"/>
        <v>0</v>
      </c>
      <c r="O15" s="3">
        <f t="shared" si="2"/>
        <v>15</v>
      </c>
      <c r="P15" s="3">
        <f t="shared" si="12"/>
        <v>10</v>
      </c>
      <c r="Q15" s="3">
        <f t="shared" si="3"/>
        <v>0</v>
      </c>
      <c r="R15" s="3">
        <f t="shared" si="4"/>
        <v>10</v>
      </c>
      <c r="S15" s="3">
        <f t="shared" si="5"/>
        <v>15</v>
      </c>
      <c r="T15" s="3">
        <f t="shared" si="6"/>
        <v>10</v>
      </c>
      <c r="U15" s="3">
        <f t="shared" si="7"/>
        <v>5</v>
      </c>
      <c r="V15" s="3">
        <f t="shared" si="8"/>
        <v>5</v>
      </c>
      <c r="W15" s="3">
        <f t="shared" si="9"/>
        <v>70</v>
      </c>
      <c r="X15" s="3" t="str">
        <f t="shared" si="10"/>
        <v> MEDIUM</v>
      </c>
      <c r="Y15" s="3" t="str">
        <f t="shared" si="11"/>
        <v>High growth signal: recent funding and active sales hiring</v>
      </c>
    </row>
    <row r="16">
      <c r="A16" s="1" t="s">
        <v>110</v>
      </c>
      <c r="B16" s="5" t="s">
        <v>111</v>
      </c>
      <c r="C16" s="1" t="s">
        <v>36</v>
      </c>
      <c r="D16" s="1" t="s">
        <v>112</v>
      </c>
      <c r="E16" s="1">
        <v>3000.0</v>
      </c>
      <c r="F16" s="1" t="s">
        <v>113</v>
      </c>
      <c r="G16" s="1" t="s">
        <v>30</v>
      </c>
      <c r="H16" s="1" t="s">
        <v>114</v>
      </c>
      <c r="I16" s="1" t="s">
        <v>32</v>
      </c>
      <c r="J16" s="1" t="s">
        <v>32</v>
      </c>
      <c r="K16" s="1" t="s">
        <v>32</v>
      </c>
      <c r="L16" s="1" t="s">
        <v>33</v>
      </c>
      <c r="M16" s="1" t="s">
        <v>33</v>
      </c>
      <c r="N16" s="3">
        <f t="shared" si="1"/>
        <v>0</v>
      </c>
      <c r="O16" s="3">
        <f t="shared" si="2"/>
        <v>15</v>
      </c>
      <c r="P16" s="3">
        <f t="shared" si="12"/>
        <v>10</v>
      </c>
      <c r="Q16" s="3">
        <f t="shared" si="3"/>
        <v>0</v>
      </c>
      <c r="R16" s="3">
        <f t="shared" si="4"/>
        <v>10</v>
      </c>
      <c r="S16" s="3">
        <f t="shared" si="5"/>
        <v>15</v>
      </c>
      <c r="T16" s="3">
        <f t="shared" si="6"/>
        <v>10</v>
      </c>
      <c r="U16" s="3">
        <f t="shared" si="7"/>
        <v>5</v>
      </c>
      <c r="V16" s="3">
        <f t="shared" si="8"/>
        <v>5</v>
      </c>
      <c r="W16" s="3">
        <f t="shared" si="9"/>
        <v>70</v>
      </c>
      <c r="X16" s="3" t="str">
        <f t="shared" si="10"/>
        <v> MEDIUM</v>
      </c>
      <c r="Y16" s="3" t="str">
        <f t="shared" si="11"/>
        <v>High growth signal: recent funding and active sales hiring</v>
      </c>
    </row>
    <row r="17">
      <c r="A17" s="1" t="s">
        <v>115</v>
      </c>
      <c r="B17" s="2" t="s">
        <v>116</v>
      </c>
      <c r="C17" s="1" t="s">
        <v>68</v>
      </c>
      <c r="D17" s="1" t="s">
        <v>117</v>
      </c>
      <c r="E17" s="1">
        <v>4000.0</v>
      </c>
      <c r="F17" s="1" t="s">
        <v>118</v>
      </c>
      <c r="G17" s="1" t="s">
        <v>30</v>
      </c>
      <c r="H17" s="2" t="s">
        <v>119</v>
      </c>
      <c r="I17" s="1" t="s">
        <v>54</v>
      </c>
      <c r="J17" s="1" t="s">
        <v>32</v>
      </c>
      <c r="K17" s="1" t="s">
        <v>32</v>
      </c>
      <c r="L17" s="1" t="s">
        <v>33</v>
      </c>
      <c r="M17" s="1" t="s">
        <v>33</v>
      </c>
      <c r="N17" s="3">
        <f t="shared" si="1"/>
        <v>20</v>
      </c>
      <c r="O17" s="3">
        <f t="shared" si="2"/>
        <v>15</v>
      </c>
      <c r="P17" s="3">
        <f t="shared" si="12"/>
        <v>0</v>
      </c>
      <c r="Q17" s="3">
        <f t="shared" si="3"/>
        <v>0</v>
      </c>
      <c r="R17" s="3">
        <f t="shared" si="4"/>
        <v>0</v>
      </c>
      <c r="S17" s="3">
        <f t="shared" si="5"/>
        <v>15</v>
      </c>
      <c r="T17" s="3">
        <f t="shared" si="6"/>
        <v>10</v>
      </c>
      <c r="U17" s="3">
        <f t="shared" si="7"/>
        <v>5</v>
      </c>
      <c r="V17" s="3">
        <f t="shared" si="8"/>
        <v>5</v>
      </c>
      <c r="W17" s="3">
        <f t="shared" si="9"/>
        <v>70</v>
      </c>
      <c r="X17" s="3" t="str">
        <f t="shared" si="10"/>
        <v> MEDIUM</v>
      </c>
      <c r="Y17" s="3" t="str">
        <f t="shared" si="11"/>
        <v>Expansion opportunity: company entering new markets</v>
      </c>
    </row>
    <row r="18">
      <c r="A18" s="1" t="s">
        <v>120</v>
      </c>
      <c r="B18" s="2" t="s">
        <v>121</v>
      </c>
      <c r="C18" s="1" t="s">
        <v>122</v>
      </c>
      <c r="D18" s="1" t="s">
        <v>123</v>
      </c>
      <c r="E18" s="1">
        <v>1500.0</v>
      </c>
      <c r="F18" s="1" t="s">
        <v>124</v>
      </c>
      <c r="G18" s="1" t="s">
        <v>30</v>
      </c>
      <c r="H18" s="1" t="s">
        <v>125</v>
      </c>
      <c r="I18" s="1" t="s">
        <v>54</v>
      </c>
      <c r="J18" s="1" t="s">
        <v>32</v>
      </c>
      <c r="K18" s="1" t="s">
        <v>32</v>
      </c>
      <c r="L18" s="1" t="s">
        <v>33</v>
      </c>
      <c r="M18" s="1" t="s">
        <v>33</v>
      </c>
      <c r="N18" s="3">
        <f t="shared" si="1"/>
        <v>0</v>
      </c>
      <c r="O18" s="3">
        <f t="shared" si="2"/>
        <v>15</v>
      </c>
      <c r="P18" s="3">
        <f t="shared" si="12"/>
        <v>0</v>
      </c>
      <c r="Q18" s="3">
        <f t="shared" si="3"/>
        <v>0</v>
      </c>
      <c r="R18" s="3">
        <f t="shared" si="4"/>
        <v>0</v>
      </c>
      <c r="S18" s="3">
        <f t="shared" si="5"/>
        <v>15</v>
      </c>
      <c r="T18" s="3">
        <f t="shared" si="6"/>
        <v>10</v>
      </c>
      <c r="U18" s="3">
        <f t="shared" si="7"/>
        <v>5</v>
      </c>
      <c r="V18" s="3">
        <f t="shared" si="8"/>
        <v>5</v>
      </c>
      <c r="W18" s="3">
        <f t="shared" si="9"/>
        <v>50</v>
      </c>
      <c r="X18" s="3" t="str">
        <f t="shared" si="10"/>
        <v> LOW</v>
      </c>
      <c r="Y18" s="3" t="str">
        <f t="shared" si="11"/>
        <v>Expansion opportunity: company entering new markets</v>
      </c>
    </row>
    <row r="19">
      <c r="A19" s="1" t="s">
        <v>126</v>
      </c>
      <c r="B19" s="2" t="s">
        <v>127</v>
      </c>
      <c r="C19" s="1" t="s">
        <v>68</v>
      </c>
      <c r="D19" s="1" t="s">
        <v>128</v>
      </c>
      <c r="E19" s="1">
        <v>1200.0</v>
      </c>
      <c r="F19" s="1" t="s">
        <v>129</v>
      </c>
      <c r="G19" s="1" t="s">
        <v>30</v>
      </c>
      <c r="H19" s="1" t="s">
        <v>130</v>
      </c>
      <c r="I19" s="1" t="s">
        <v>32</v>
      </c>
      <c r="J19" s="1" t="s">
        <v>32</v>
      </c>
      <c r="K19" s="1" t="s">
        <v>32</v>
      </c>
      <c r="L19" s="1" t="s">
        <v>33</v>
      </c>
      <c r="M19" s="1" t="s">
        <v>33</v>
      </c>
      <c r="N19" s="3">
        <f t="shared" si="1"/>
        <v>0</v>
      </c>
      <c r="O19" s="3">
        <f t="shared" si="2"/>
        <v>15</v>
      </c>
      <c r="P19" s="3">
        <f t="shared" si="12"/>
        <v>0</v>
      </c>
      <c r="Q19" s="3">
        <f t="shared" si="3"/>
        <v>0</v>
      </c>
      <c r="R19" s="3">
        <f t="shared" si="4"/>
        <v>10</v>
      </c>
      <c r="S19" s="3">
        <f t="shared" si="5"/>
        <v>15</v>
      </c>
      <c r="T19" s="3">
        <f t="shared" si="6"/>
        <v>10</v>
      </c>
      <c r="U19" s="3">
        <f t="shared" si="7"/>
        <v>5</v>
      </c>
      <c r="V19" s="3">
        <f t="shared" si="8"/>
        <v>5</v>
      </c>
      <c r="W19" s="3">
        <f t="shared" si="9"/>
        <v>60</v>
      </c>
      <c r="X19" s="3" t="str">
        <f t="shared" si="10"/>
        <v> MEDIUM</v>
      </c>
      <c r="Y19" s="3" t="str">
        <f t="shared" si="11"/>
        <v>High growth signal: recent funding and active sales hiring</v>
      </c>
    </row>
    <row r="20">
      <c r="A20" s="1" t="s">
        <v>131</v>
      </c>
      <c r="B20" s="2" t="s">
        <v>132</v>
      </c>
      <c r="C20" s="1" t="s">
        <v>68</v>
      </c>
      <c r="D20" s="1" t="s">
        <v>128</v>
      </c>
      <c r="E20" s="1">
        <v>2000.0</v>
      </c>
      <c r="F20" s="1" t="s">
        <v>133</v>
      </c>
      <c r="G20" s="1" t="s">
        <v>134</v>
      </c>
      <c r="H20" s="1" t="s">
        <v>135</v>
      </c>
      <c r="I20" s="1" t="s">
        <v>54</v>
      </c>
      <c r="J20" s="1" t="s">
        <v>32</v>
      </c>
      <c r="K20" s="1" t="s">
        <v>32</v>
      </c>
      <c r="L20" s="1" t="s">
        <v>33</v>
      </c>
      <c r="M20" s="1" t="s">
        <v>33</v>
      </c>
      <c r="N20" s="3">
        <f t="shared" si="1"/>
        <v>0</v>
      </c>
      <c r="O20" s="3">
        <f t="shared" si="2"/>
        <v>15</v>
      </c>
      <c r="P20" s="3">
        <f t="shared" si="12"/>
        <v>0</v>
      </c>
      <c r="Q20" s="3">
        <f t="shared" si="3"/>
        <v>0</v>
      </c>
      <c r="R20" s="3">
        <f t="shared" si="4"/>
        <v>0</v>
      </c>
      <c r="S20" s="3">
        <f t="shared" si="5"/>
        <v>15</v>
      </c>
      <c r="T20" s="3">
        <f t="shared" si="6"/>
        <v>10</v>
      </c>
      <c r="U20" s="3">
        <f t="shared" si="7"/>
        <v>5</v>
      </c>
      <c r="V20" s="3">
        <f t="shared" si="8"/>
        <v>0</v>
      </c>
      <c r="W20" s="3">
        <f t="shared" si="9"/>
        <v>45</v>
      </c>
      <c r="X20" s="3" t="str">
        <f t="shared" si="10"/>
        <v> LOW</v>
      </c>
      <c r="Y20" s="3" t="str">
        <f t="shared" si="11"/>
        <v>Expansion opportunity: company entering new markets</v>
      </c>
    </row>
    <row r="21">
      <c r="A21" s="1" t="s">
        <v>136</v>
      </c>
      <c r="B21" s="2" t="s">
        <v>137</v>
      </c>
      <c r="C21" s="1" t="s">
        <v>68</v>
      </c>
      <c r="D21" s="1" t="s">
        <v>138</v>
      </c>
      <c r="E21" s="1">
        <v>3000.0</v>
      </c>
      <c r="F21" s="1" t="s">
        <v>139</v>
      </c>
      <c r="G21" s="1" t="s">
        <v>59</v>
      </c>
      <c r="H21" s="1" t="s">
        <v>140</v>
      </c>
      <c r="I21" s="1" t="s">
        <v>32</v>
      </c>
      <c r="J21" s="1" t="s">
        <v>32</v>
      </c>
      <c r="K21" s="1" t="s">
        <v>32</v>
      </c>
      <c r="L21" s="1" t="s">
        <v>33</v>
      </c>
      <c r="M21" s="1" t="s">
        <v>33</v>
      </c>
      <c r="N21" s="3">
        <f t="shared" si="1"/>
        <v>20</v>
      </c>
      <c r="O21" s="3">
        <f t="shared" si="2"/>
        <v>15</v>
      </c>
      <c r="P21" s="3">
        <f t="shared" si="12"/>
        <v>0</v>
      </c>
      <c r="Q21" s="3">
        <f t="shared" si="3"/>
        <v>0</v>
      </c>
      <c r="R21" s="3">
        <f t="shared" si="4"/>
        <v>10</v>
      </c>
      <c r="S21" s="3">
        <f t="shared" si="5"/>
        <v>15</v>
      </c>
      <c r="T21" s="3">
        <f t="shared" si="6"/>
        <v>10</v>
      </c>
      <c r="U21" s="3">
        <f t="shared" si="7"/>
        <v>5</v>
      </c>
      <c r="V21" s="3">
        <f t="shared" si="8"/>
        <v>0</v>
      </c>
      <c r="W21" s="3">
        <f t="shared" si="9"/>
        <v>75</v>
      </c>
      <c r="X21" s="3" t="str">
        <f t="shared" si="10"/>
        <v> MEDIUM</v>
      </c>
      <c r="Y21" s="3" t="str">
        <f t="shared" si="11"/>
        <v>High growth signal: recent funding and active sales hiring</v>
      </c>
    </row>
    <row r="22">
      <c r="A22" s="1" t="s">
        <v>141</v>
      </c>
      <c r="B22" s="2" t="s">
        <v>142</v>
      </c>
      <c r="C22" s="1" t="s">
        <v>101</v>
      </c>
      <c r="D22" s="1" t="s">
        <v>143</v>
      </c>
      <c r="E22" s="1">
        <v>300.0</v>
      </c>
      <c r="F22" s="1" t="s">
        <v>144</v>
      </c>
      <c r="G22" s="1" t="s">
        <v>145</v>
      </c>
      <c r="H22" s="1" t="s">
        <v>146</v>
      </c>
      <c r="I22" s="1" t="s">
        <v>32</v>
      </c>
      <c r="J22" s="1" t="s">
        <v>32</v>
      </c>
      <c r="K22" s="1" t="s">
        <v>32</v>
      </c>
      <c r="L22" s="1" t="s">
        <v>33</v>
      </c>
      <c r="M22" s="1" t="s">
        <v>33</v>
      </c>
      <c r="N22" s="3">
        <f t="shared" si="1"/>
        <v>20</v>
      </c>
      <c r="O22" s="3">
        <f t="shared" si="2"/>
        <v>15</v>
      </c>
      <c r="P22" s="3">
        <f t="shared" si="12"/>
        <v>10</v>
      </c>
      <c r="Q22" s="3">
        <f t="shared" si="3"/>
        <v>0</v>
      </c>
      <c r="R22" s="3">
        <f t="shared" si="4"/>
        <v>10</v>
      </c>
      <c r="S22" s="3">
        <f t="shared" si="5"/>
        <v>15</v>
      </c>
      <c r="T22" s="3">
        <f t="shared" si="6"/>
        <v>10</v>
      </c>
      <c r="U22" s="3">
        <f t="shared" si="7"/>
        <v>5</v>
      </c>
      <c r="V22" s="3">
        <f t="shared" si="8"/>
        <v>0</v>
      </c>
      <c r="W22" s="3">
        <f t="shared" si="9"/>
        <v>85</v>
      </c>
      <c r="X22" s="3" t="str">
        <f t="shared" si="10"/>
        <v>🔥 HIGH</v>
      </c>
      <c r="Y22" s="3" t="str">
        <f t="shared" si="11"/>
        <v>High growth signal: recent funding and active sales hiring</v>
      </c>
    </row>
    <row r="23">
      <c r="A23" s="1" t="s">
        <v>147</v>
      </c>
      <c r="B23" s="2" t="s">
        <v>148</v>
      </c>
      <c r="C23" s="1" t="s">
        <v>149</v>
      </c>
      <c r="D23" s="1" t="s">
        <v>128</v>
      </c>
      <c r="E23" s="1">
        <v>1200.0</v>
      </c>
      <c r="F23" s="1" t="s">
        <v>150</v>
      </c>
      <c r="G23" s="1" t="s">
        <v>151</v>
      </c>
      <c r="H23" s="1" t="s">
        <v>152</v>
      </c>
      <c r="I23" s="1" t="s">
        <v>32</v>
      </c>
      <c r="J23" s="1" t="s">
        <v>32</v>
      </c>
      <c r="K23" s="1" t="s">
        <v>32</v>
      </c>
      <c r="L23" s="1" t="s">
        <v>33</v>
      </c>
      <c r="M23" s="1" t="s">
        <v>33</v>
      </c>
      <c r="N23" s="3">
        <f t="shared" si="1"/>
        <v>0</v>
      </c>
      <c r="O23" s="3">
        <f t="shared" si="2"/>
        <v>15</v>
      </c>
      <c r="P23" s="3">
        <f t="shared" si="12"/>
        <v>0</v>
      </c>
      <c r="Q23" s="3">
        <f t="shared" si="3"/>
        <v>0</v>
      </c>
      <c r="R23" s="3">
        <f t="shared" si="4"/>
        <v>10</v>
      </c>
      <c r="S23" s="3">
        <f t="shared" si="5"/>
        <v>15</v>
      </c>
      <c r="T23" s="3">
        <f t="shared" si="6"/>
        <v>10</v>
      </c>
      <c r="U23" s="3">
        <f t="shared" si="7"/>
        <v>5</v>
      </c>
      <c r="V23" s="3">
        <f t="shared" si="8"/>
        <v>0</v>
      </c>
      <c r="W23" s="3">
        <f t="shared" si="9"/>
        <v>55</v>
      </c>
      <c r="X23" s="3" t="str">
        <f t="shared" si="10"/>
        <v> LOW</v>
      </c>
      <c r="Y23" s="3" t="str">
        <f t="shared" si="11"/>
        <v>High growth signal: recent funding and active sales hiring</v>
      </c>
    </row>
    <row r="24">
      <c r="A24" s="1" t="s">
        <v>153</v>
      </c>
      <c r="B24" s="2" t="s">
        <v>154</v>
      </c>
      <c r="C24" s="1" t="s">
        <v>27</v>
      </c>
      <c r="D24" s="1" t="s">
        <v>155</v>
      </c>
      <c r="E24" s="1">
        <v>900.0</v>
      </c>
      <c r="F24" s="1" t="s">
        <v>156</v>
      </c>
      <c r="G24" s="1" t="s">
        <v>59</v>
      </c>
      <c r="H24" s="1" t="s">
        <v>157</v>
      </c>
      <c r="I24" s="1" t="s">
        <v>32</v>
      </c>
      <c r="J24" s="1" t="s">
        <v>32</v>
      </c>
      <c r="K24" s="1" t="s">
        <v>32</v>
      </c>
      <c r="L24" s="1" t="s">
        <v>33</v>
      </c>
      <c r="M24" s="1" t="s">
        <v>33</v>
      </c>
      <c r="N24" s="3">
        <f t="shared" si="1"/>
        <v>20</v>
      </c>
      <c r="O24" s="3">
        <f t="shared" si="2"/>
        <v>15</v>
      </c>
      <c r="P24" s="3">
        <f t="shared" si="12"/>
        <v>10</v>
      </c>
      <c r="Q24" s="3">
        <f t="shared" si="3"/>
        <v>0</v>
      </c>
      <c r="R24" s="3">
        <f t="shared" si="4"/>
        <v>10</v>
      </c>
      <c r="S24" s="3">
        <f t="shared" si="5"/>
        <v>15</v>
      </c>
      <c r="T24" s="3">
        <f t="shared" si="6"/>
        <v>10</v>
      </c>
      <c r="U24" s="3">
        <f t="shared" si="7"/>
        <v>5</v>
      </c>
      <c r="V24" s="3">
        <f t="shared" si="8"/>
        <v>0</v>
      </c>
      <c r="W24" s="3">
        <f t="shared" si="9"/>
        <v>85</v>
      </c>
      <c r="X24" s="3" t="str">
        <f t="shared" si="10"/>
        <v>🔥 HIGH</v>
      </c>
      <c r="Y24" s="3" t="str">
        <f t="shared" si="11"/>
        <v>High growth signal: recent funding and active sales hiring</v>
      </c>
    </row>
    <row r="25">
      <c r="A25" s="1" t="s">
        <v>158</v>
      </c>
      <c r="B25" s="2" t="s">
        <v>159</v>
      </c>
      <c r="C25" s="1" t="s">
        <v>36</v>
      </c>
      <c r="D25" s="1" t="s">
        <v>155</v>
      </c>
      <c r="E25" s="1">
        <v>300.0</v>
      </c>
      <c r="F25" s="1" t="s">
        <v>160</v>
      </c>
      <c r="G25" s="1" t="s">
        <v>59</v>
      </c>
      <c r="H25" s="1" t="s">
        <v>161</v>
      </c>
      <c r="I25" s="1" t="s">
        <v>32</v>
      </c>
      <c r="J25" s="1" t="s">
        <v>32</v>
      </c>
      <c r="K25" s="1" t="s">
        <v>32</v>
      </c>
      <c r="L25" s="1" t="s">
        <v>33</v>
      </c>
      <c r="M25" s="1" t="s">
        <v>33</v>
      </c>
      <c r="N25" s="3">
        <f t="shared" si="1"/>
        <v>20</v>
      </c>
      <c r="O25" s="3">
        <f t="shared" si="2"/>
        <v>15</v>
      </c>
      <c r="P25" s="3">
        <f t="shared" si="12"/>
        <v>10</v>
      </c>
      <c r="Q25" s="3">
        <f t="shared" si="3"/>
        <v>0</v>
      </c>
      <c r="R25" s="3">
        <f t="shared" si="4"/>
        <v>10</v>
      </c>
      <c r="S25" s="3">
        <f t="shared" si="5"/>
        <v>15</v>
      </c>
      <c r="T25" s="3">
        <f t="shared" si="6"/>
        <v>10</v>
      </c>
      <c r="U25" s="3">
        <f t="shared" si="7"/>
        <v>5</v>
      </c>
      <c r="V25" s="3">
        <f t="shared" si="8"/>
        <v>0</v>
      </c>
      <c r="W25" s="3">
        <f t="shared" si="9"/>
        <v>85</v>
      </c>
      <c r="X25" s="3" t="str">
        <f t="shared" si="10"/>
        <v>🔥 HIGH</v>
      </c>
      <c r="Y25" s="3" t="str">
        <f t="shared" si="11"/>
        <v>High growth signal: recent funding and active sales hiring</v>
      </c>
    </row>
    <row r="26">
      <c r="A26" s="1" t="s">
        <v>162</v>
      </c>
      <c r="B26" s="2" t="s">
        <v>163</v>
      </c>
      <c r="C26" s="1" t="s">
        <v>36</v>
      </c>
      <c r="D26" s="1" t="s">
        <v>164</v>
      </c>
      <c r="E26" s="1">
        <v>400.0</v>
      </c>
      <c r="F26" s="1" t="s">
        <v>165</v>
      </c>
      <c r="G26" s="1" t="s">
        <v>59</v>
      </c>
      <c r="H26" s="1" t="s">
        <v>166</v>
      </c>
      <c r="I26" s="1" t="s">
        <v>32</v>
      </c>
      <c r="J26" s="1" t="s">
        <v>32</v>
      </c>
      <c r="K26" s="1" t="s">
        <v>32</v>
      </c>
      <c r="L26" s="1" t="s">
        <v>33</v>
      </c>
      <c r="M26" s="1" t="s">
        <v>33</v>
      </c>
      <c r="N26" s="3">
        <f t="shared" si="1"/>
        <v>0</v>
      </c>
      <c r="O26" s="3">
        <f t="shared" si="2"/>
        <v>15</v>
      </c>
      <c r="P26" s="3">
        <f t="shared" si="12"/>
        <v>10</v>
      </c>
      <c r="Q26" s="3">
        <f t="shared" si="3"/>
        <v>0</v>
      </c>
      <c r="R26" s="3">
        <f t="shared" si="4"/>
        <v>10</v>
      </c>
      <c r="S26" s="3">
        <f t="shared" si="5"/>
        <v>15</v>
      </c>
      <c r="T26" s="3">
        <f t="shared" si="6"/>
        <v>10</v>
      </c>
      <c r="U26" s="3">
        <f t="shared" si="7"/>
        <v>5</v>
      </c>
      <c r="V26" s="3">
        <f t="shared" si="8"/>
        <v>0</v>
      </c>
      <c r="W26" s="3">
        <f t="shared" si="9"/>
        <v>65</v>
      </c>
      <c r="X26" s="3" t="str">
        <f t="shared" si="10"/>
        <v> MEDIUM</v>
      </c>
      <c r="Y26" s="3" t="str">
        <f t="shared" si="11"/>
        <v>High growth signal: recent funding and active sales hiring</v>
      </c>
    </row>
    <row r="27">
      <c r="A27" s="1" t="s">
        <v>167</v>
      </c>
      <c r="B27" s="2" t="s">
        <v>168</v>
      </c>
      <c r="C27" s="1" t="s">
        <v>68</v>
      </c>
      <c r="D27" s="1" t="s">
        <v>169</v>
      </c>
      <c r="E27" s="1">
        <v>350.0</v>
      </c>
      <c r="F27" s="1" t="s">
        <v>170</v>
      </c>
      <c r="G27" s="1" t="s">
        <v>59</v>
      </c>
      <c r="H27" s="1" t="s">
        <v>171</v>
      </c>
      <c r="I27" s="1" t="s">
        <v>32</v>
      </c>
      <c r="J27" s="1" t="s">
        <v>32</v>
      </c>
      <c r="K27" s="1" t="s">
        <v>32</v>
      </c>
      <c r="L27" s="1" t="s">
        <v>33</v>
      </c>
      <c r="M27" s="1" t="s">
        <v>33</v>
      </c>
      <c r="N27" s="3">
        <f t="shared" si="1"/>
        <v>0</v>
      </c>
      <c r="O27" s="3">
        <f t="shared" si="2"/>
        <v>15</v>
      </c>
      <c r="P27" s="3">
        <f t="shared" si="12"/>
        <v>0</v>
      </c>
      <c r="Q27" s="3">
        <f t="shared" si="3"/>
        <v>0</v>
      </c>
      <c r="R27" s="3">
        <f t="shared" si="4"/>
        <v>10</v>
      </c>
      <c r="S27" s="3">
        <f t="shared" si="5"/>
        <v>15</v>
      </c>
      <c r="T27" s="3">
        <f t="shared" si="6"/>
        <v>10</v>
      </c>
      <c r="U27" s="3">
        <f t="shared" si="7"/>
        <v>5</v>
      </c>
      <c r="V27" s="3">
        <f t="shared" si="8"/>
        <v>0</v>
      </c>
      <c r="W27" s="3">
        <f t="shared" si="9"/>
        <v>55</v>
      </c>
      <c r="X27" s="3" t="str">
        <f t="shared" si="10"/>
        <v> LOW</v>
      </c>
      <c r="Y27" s="3" t="str">
        <f t="shared" si="11"/>
        <v>High growth signal: recent funding and active sales hiring</v>
      </c>
    </row>
    <row r="28">
      <c r="A28" s="1" t="s">
        <v>172</v>
      </c>
      <c r="B28" s="2" t="s">
        <v>173</v>
      </c>
      <c r="C28" s="1" t="s">
        <v>68</v>
      </c>
      <c r="D28" s="1" t="s">
        <v>174</v>
      </c>
      <c r="E28" s="1">
        <v>300.0</v>
      </c>
      <c r="F28" s="1" t="s">
        <v>175</v>
      </c>
      <c r="G28" s="1" t="s">
        <v>176</v>
      </c>
      <c r="H28" s="1" t="s">
        <v>177</v>
      </c>
      <c r="I28" s="1" t="s">
        <v>32</v>
      </c>
      <c r="J28" s="1" t="s">
        <v>32</v>
      </c>
      <c r="K28" s="1" t="s">
        <v>32</v>
      </c>
      <c r="L28" s="1" t="s">
        <v>33</v>
      </c>
      <c r="M28" s="1" t="s">
        <v>33</v>
      </c>
      <c r="N28" s="3">
        <f t="shared" si="1"/>
        <v>0</v>
      </c>
      <c r="O28" s="3">
        <f t="shared" si="2"/>
        <v>15</v>
      </c>
      <c r="P28" s="3">
        <f t="shared" si="12"/>
        <v>0</v>
      </c>
      <c r="Q28" s="3">
        <f t="shared" si="3"/>
        <v>0</v>
      </c>
      <c r="R28" s="3">
        <f t="shared" si="4"/>
        <v>10</v>
      </c>
      <c r="S28" s="3">
        <f t="shared" si="5"/>
        <v>15</v>
      </c>
      <c r="T28" s="3">
        <f t="shared" si="6"/>
        <v>10</v>
      </c>
      <c r="U28" s="3">
        <f t="shared" si="7"/>
        <v>5</v>
      </c>
      <c r="V28" s="3">
        <f t="shared" si="8"/>
        <v>0</v>
      </c>
      <c r="W28" s="3">
        <f t="shared" si="9"/>
        <v>55</v>
      </c>
      <c r="X28" s="3" t="str">
        <f t="shared" si="10"/>
        <v> LOW</v>
      </c>
      <c r="Y28" s="3" t="str">
        <f t="shared" si="11"/>
        <v>High growth signal: recent funding and active sales hiring</v>
      </c>
    </row>
    <row r="29">
      <c r="A29" s="1" t="s">
        <v>178</v>
      </c>
      <c r="B29" s="2" t="s">
        <v>179</v>
      </c>
      <c r="C29" s="1" t="s">
        <v>27</v>
      </c>
      <c r="D29" s="1" t="s">
        <v>180</v>
      </c>
      <c r="E29" s="1">
        <v>3000.0</v>
      </c>
      <c r="F29" s="1" t="s">
        <v>181</v>
      </c>
      <c r="G29" s="1" t="s">
        <v>59</v>
      </c>
      <c r="H29" s="1" t="s">
        <v>182</v>
      </c>
      <c r="I29" s="1" t="s">
        <v>54</v>
      </c>
      <c r="J29" s="1" t="s">
        <v>32</v>
      </c>
      <c r="K29" s="1" t="s">
        <v>32</v>
      </c>
      <c r="L29" s="1" t="s">
        <v>33</v>
      </c>
      <c r="M29" s="1" t="s">
        <v>33</v>
      </c>
      <c r="N29" s="3">
        <f t="shared" si="1"/>
        <v>0</v>
      </c>
      <c r="O29" s="3">
        <f t="shared" si="2"/>
        <v>15</v>
      </c>
      <c r="P29" s="3">
        <f t="shared" si="12"/>
        <v>10</v>
      </c>
      <c r="Q29" s="3">
        <f t="shared" si="3"/>
        <v>0</v>
      </c>
      <c r="R29" s="3">
        <f t="shared" si="4"/>
        <v>0</v>
      </c>
      <c r="S29" s="3">
        <f t="shared" si="5"/>
        <v>15</v>
      </c>
      <c r="T29" s="3">
        <f t="shared" si="6"/>
        <v>10</v>
      </c>
      <c r="U29" s="3">
        <f t="shared" si="7"/>
        <v>5</v>
      </c>
      <c r="V29" s="3">
        <f t="shared" si="8"/>
        <v>0</v>
      </c>
      <c r="W29" s="3">
        <f t="shared" si="9"/>
        <v>55</v>
      </c>
      <c r="X29" s="3" t="str">
        <f t="shared" si="10"/>
        <v> LOW</v>
      </c>
      <c r="Y29" s="3" t="str">
        <f t="shared" si="11"/>
        <v>Expansion opportunity: company entering new markets</v>
      </c>
    </row>
    <row r="30">
      <c r="A30" s="1" t="s">
        <v>183</v>
      </c>
      <c r="B30" s="2" t="s">
        <v>184</v>
      </c>
      <c r="C30" s="1" t="s">
        <v>36</v>
      </c>
      <c r="D30" s="1" t="s">
        <v>185</v>
      </c>
      <c r="E30" s="1">
        <v>900.0</v>
      </c>
      <c r="F30" s="1" t="s">
        <v>186</v>
      </c>
      <c r="G30" s="1" t="s">
        <v>30</v>
      </c>
      <c r="H30" s="1" t="s">
        <v>187</v>
      </c>
      <c r="I30" s="1" t="s">
        <v>32</v>
      </c>
      <c r="J30" s="1" t="s">
        <v>32</v>
      </c>
      <c r="K30" s="1" t="s">
        <v>32</v>
      </c>
      <c r="L30" s="1" t="s">
        <v>33</v>
      </c>
      <c r="M30" s="1" t="s">
        <v>33</v>
      </c>
      <c r="N30" s="3">
        <f t="shared" si="1"/>
        <v>0</v>
      </c>
      <c r="O30" s="3">
        <f t="shared" si="2"/>
        <v>15</v>
      </c>
      <c r="P30" s="3">
        <f t="shared" si="12"/>
        <v>10</v>
      </c>
      <c r="Q30" s="3">
        <f t="shared" si="3"/>
        <v>0</v>
      </c>
      <c r="R30" s="3">
        <f t="shared" si="4"/>
        <v>10</v>
      </c>
      <c r="S30" s="3">
        <f t="shared" si="5"/>
        <v>15</v>
      </c>
      <c r="T30" s="3">
        <f t="shared" si="6"/>
        <v>10</v>
      </c>
      <c r="U30" s="3">
        <f t="shared" si="7"/>
        <v>5</v>
      </c>
      <c r="V30" s="3">
        <f t="shared" si="8"/>
        <v>5</v>
      </c>
      <c r="W30" s="3">
        <f t="shared" si="9"/>
        <v>70</v>
      </c>
      <c r="X30" s="3" t="str">
        <f t="shared" si="10"/>
        <v> MEDIUM</v>
      </c>
      <c r="Y30" s="3" t="str">
        <f t="shared" si="11"/>
        <v>High growth signal: recent funding and active sales hiring</v>
      </c>
    </row>
    <row r="31">
      <c r="A31" s="1" t="s">
        <v>188</v>
      </c>
      <c r="B31" s="2" t="s">
        <v>189</v>
      </c>
      <c r="C31" s="1" t="s">
        <v>68</v>
      </c>
      <c r="D31" s="1" t="s">
        <v>37</v>
      </c>
      <c r="E31" s="1">
        <v>1200.0</v>
      </c>
      <c r="F31" s="1" t="s">
        <v>190</v>
      </c>
      <c r="G31" s="1" t="s">
        <v>59</v>
      </c>
      <c r="H31" s="1" t="s">
        <v>191</v>
      </c>
      <c r="I31" s="1" t="s">
        <v>32</v>
      </c>
      <c r="J31" s="1" t="s">
        <v>32</v>
      </c>
      <c r="K31" s="1" t="s">
        <v>32</v>
      </c>
      <c r="L31" s="1" t="s">
        <v>33</v>
      </c>
      <c r="M31" s="1" t="s">
        <v>55</v>
      </c>
      <c r="N31" s="3">
        <f t="shared" si="1"/>
        <v>20</v>
      </c>
      <c r="O31" s="3">
        <f t="shared" si="2"/>
        <v>15</v>
      </c>
      <c r="P31" s="3">
        <f t="shared" si="12"/>
        <v>0</v>
      </c>
      <c r="Q31" s="3">
        <f t="shared" si="3"/>
        <v>0</v>
      </c>
      <c r="R31" s="3">
        <f t="shared" si="4"/>
        <v>10</v>
      </c>
      <c r="S31" s="3">
        <f t="shared" si="5"/>
        <v>15</v>
      </c>
      <c r="T31" s="3">
        <f t="shared" si="6"/>
        <v>10</v>
      </c>
      <c r="U31" s="3">
        <f t="shared" si="7"/>
        <v>5</v>
      </c>
      <c r="V31" s="3">
        <f t="shared" si="8"/>
        <v>0</v>
      </c>
      <c r="W31" s="3">
        <f t="shared" si="9"/>
        <v>75</v>
      </c>
      <c r="X31" s="3" t="str">
        <f t="shared" si="10"/>
        <v> MEDIUM</v>
      </c>
      <c r="Y31" s="3" t="str">
        <f t="shared" si="11"/>
        <v>High growth signal: recent funding and active sales hiring</v>
      </c>
    </row>
    <row r="32">
      <c r="A32" s="1" t="s">
        <v>192</v>
      </c>
      <c r="B32" s="2" t="s">
        <v>193</v>
      </c>
      <c r="C32" s="1" t="s">
        <v>68</v>
      </c>
      <c r="D32" s="1" t="s">
        <v>194</v>
      </c>
      <c r="E32" s="1">
        <v>5000.0</v>
      </c>
      <c r="F32" s="1" t="s">
        <v>195</v>
      </c>
      <c r="G32" s="1" t="s">
        <v>196</v>
      </c>
      <c r="H32" s="1" t="s">
        <v>197</v>
      </c>
      <c r="I32" s="1" t="s">
        <v>54</v>
      </c>
      <c r="J32" s="1" t="s">
        <v>32</v>
      </c>
      <c r="K32" s="1" t="s">
        <v>32</v>
      </c>
      <c r="L32" s="1" t="s">
        <v>33</v>
      </c>
      <c r="M32" s="1" t="s">
        <v>55</v>
      </c>
      <c r="N32" s="3">
        <f t="shared" si="1"/>
        <v>0</v>
      </c>
      <c r="O32" s="3">
        <f t="shared" si="2"/>
        <v>15</v>
      </c>
      <c r="P32" s="3">
        <f t="shared" si="12"/>
        <v>0</v>
      </c>
      <c r="Q32" s="3">
        <f t="shared" si="3"/>
        <v>0</v>
      </c>
      <c r="R32" s="3">
        <f t="shared" si="4"/>
        <v>0</v>
      </c>
      <c r="S32" s="3">
        <f t="shared" si="5"/>
        <v>15</v>
      </c>
      <c r="T32" s="3">
        <f t="shared" si="6"/>
        <v>10</v>
      </c>
      <c r="U32" s="3">
        <f t="shared" si="7"/>
        <v>5</v>
      </c>
      <c r="V32" s="3">
        <f t="shared" si="8"/>
        <v>0</v>
      </c>
      <c r="W32" s="3">
        <f t="shared" si="9"/>
        <v>45</v>
      </c>
      <c r="X32" s="3" t="str">
        <f t="shared" si="10"/>
        <v> LOW</v>
      </c>
      <c r="Y32" s="3" t="str">
        <f t="shared" si="11"/>
        <v>Expansion opportunity: company entering new markets</v>
      </c>
    </row>
    <row r="33">
      <c r="A33" s="1" t="s">
        <v>198</v>
      </c>
      <c r="B33" s="2" t="s">
        <v>199</v>
      </c>
      <c r="C33" s="1" t="s">
        <v>200</v>
      </c>
      <c r="D33" s="1" t="s">
        <v>194</v>
      </c>
      <c r="E33" s="1">
        <v>2000.0</v>
      </c>
      <c r="F33" s="1" t="s">
        <v>201</v>
      </c>
      <c r="G33" s="1" t="s">
        <v>59</v>
      </c>
      <c r="H33" s="1" t="s">
        <v>202</v>
      </c>
      <c r="I33" s="1" t="s">
        <v>32</v>
      </c>
      <c r="J33" s="1" t="s">
        <v>32</v>
      </c>
      <c r="K33" s="1" t="s">
        <v>32</v>
      </c>
      <c r="L33" s="1" t="s">
        <v>33</v>
      </c>
      <c r="M33" s="1" t="s">
        <v>33</v>
      </c>
      <c r="N33" s="3">
        <f t="shared" si="1"/>
        <v>0</v>
      </c>
      <c r="O33" s="3">
        <f t="shared" si="2"/>
        <v>15</v>
      </c>
      <c r="P33" s="3">
        <f t="shared" si="12"/>
        <v>10</v>
      </c>
      <c r="Q33" s="3">
        <f t="shared" si="3"/>
        <v>0</v>
      </c>
      <c r="R33" s="3">
        <f t="shared" si="4"/>
        <v>10</v>
      </c>
      <c r="S33" s="3">
        <f t="shared" si="5"/>
        <v>15</v>
      </c>
      <c r="T33" s="3">
        <f t="shared" si="6"/>
        <v>10</v>
      </c>
      <c r="U33" s="3">
        <f t="shared" si="7"/>
        <v>5</v>
      </c>
      <c r="V33" s="3">
        <f t="shared" si="8"/>
        <v>0</v>
      </c>
      <c r="W33" s="3">
        <f t="shared" si="9"/>
        <v>65</v>
      </c>
      <c r="X33" s="3" t="str">
        <f t="shared" si="10"/>
        <v> MEDIUM</v>
      </c>
      <c r="Y33" s="3" t="str">
        <f t="shared" si="11"/>
        <v>High growth signal: recent funding and active sales hiring</v>
      </c>
    </row>
    <row r="34">
      <c r="A34" s="1" t="s">
        <v>203</v>
      </c>
      <c r="B34" s="2" t="s">
        <v>204</v>
      </c>
      <c r="C34" s="1" t="s">
        <v>27</v>
      </c>
      <c r="D34" s="1" t="s">
        <v>28</v>
      </c>
      <c r="E34" s="1">
        <v>300.0</v>
      </c>
      <c r="F34" s="1" t="s">
        <v>205</v>
      </c>
      <c r="G34" s="1" t="s">
        <v>206</v>
      </c>
      <c r="H34" s="1" t="s">
        <v>207</v>
      </c>
      <c r="I34" s="1" t="s">
        <v>32</v>
      </c>
      <c r="J34" s="1" t="s">
        <v>32</v>
      </c>
      <c r="K34" s="1" t="s">
        <v>32</v>
      </c>
      <c r="L34" s="1" t="s">
        <v>33</v>
      </c>
      <c r="M34" s="1" t="s">
        <v>33</v>
      </c>
      <c r="N34" s="3">
        <f t="shared" si="1"/>
        <v>20</v>
      </c>
      <c r="O34" s="3">
        <f t="shared" si="2"/>
        <v>15</v>
      </c>
      <c r="P34" s="3">
        <f t="shared" si="12"/>
        <v>10</v>
      </c>
      <c r="Q34" s="3">
        <f t="shared" si="3"/>
        <v>0</v>
      </c>
      <c r="R34" s="3">
        <f t="shared" si="4"/>
        <v>10</v>
      </c>
      <c r="S34" s="3">
        <f t="shared" si="5"/>
        <v>15</v>
      </c>
      <c r="T34" s="3">
        <f t="shared" si="6"/>
        <v>10</v>
      </c>
      <c r="U34" s="3">
        <f t="shared" si="7"/>
        <v>5</v>
      </c>
      <c r="V34" s="3">
        <f t="shared" si="8"/>
        <v>5</v>
      </c>
      <c r="W34" s="3">
        <f t="shared" si="9"/>
        <v>90</v>
      </c>
      <c r="X34" s="3" t="str">
        <f t="shared" si="10"/>
        <v>🔥 HIGH</v>
      </c>
      <c r="Y34" s="3" t="str">
        <f t="shared" si="11"/>
        <v>High growth signal: recent funding and active sales hiring</v>
      </c>
    </row>
    <row r="35">
      <c r="A35" s="1" t="s">
        <v>122</v>
      </c>
      <c r="B35" s="2" t="s">
        <v>208</v>
      </c>
      <c r="C35" s="1" t="s">
        <v>68</v>
      </c>
      <c r="D35" s="1" t="s">
        <v>28</v>
      </c>
      <c r="E35" s="1">
        <v>1000.0</v>
      </c>
      <c r="F35" s="1" t="s">
        <v>209</v>
      </c>
      <c r="G35" s="1" t="s">
        <v>210</v>
      </c>
      <c r="H35" s="1" t="s">
        <v>211</v>
      </c>
      <c r="I35" s="1" t="s">
        <v>32</v>
      </c>
      <c r="J35" s="1" t="s">
        <v>32</v>
      </c>
      <c r="K35" s="1" t="s">
        <v>32</v>
      </c>
      <c r="L35" s="1" t="s">
        <v>33</v>
      </c>
      <c r="M35" s="1" t="s">
        <v>33</v>
      </c>
      <c r="N35" s="3">
        <f t="shared" si="1"/>
        <v>20</v>
      </c>
      <c r="O35" s="3">
        <f t="shared" si="2"/>
        <v>15</v>
      </c>
      <c r="P35" s="3">
        <f t="shared" si="12"/>
        <v>0</v>
      </c>
      <c r="Q35" s="3">
        <f t="shared" si="3"/>
        <v>0</v>
      </c>
      <c r="R35" s="3">
        <f t="shared" si="4"/>
        <v>10</v>
      </c>
      <c r="S35" s="3">
        <f t="shared" si="5"/>
        <v>15</v>
      </c>
      <c r="T35" s="3">
        <f t="shared" si="6"/>
        <v>10</v>
      </c>
      <c r="U35" s="3">
        <f t="shared" si="7"/>
        <v>5</v>
      </c>
      <c r="V35" s="3">
        <f t="shared" si="8"/>
        <v>0</v>
      </c>
      <c r="W35" s="3">
        <f t="shared" si="9"/>
        <v>75</v>
      </c>
      <c r="X35" s="3" t="str">
        <f t="shared" si="10"/>
        <v> MEDIUM</v>
      </c>
      <c r="Y35" s="3" t="str">
        <f t="shared" si="11"/>
        <v>High growth signal: recent funding and active sales hiring</v>
      </c>
    </row>
    <row r="36">
      <c r="A36" s="1" t="s">
        <v>212</v>
      </c>
      <c r="B36" s="2" t="s">
        <v>213</v>
      </c>
      <c r="C36" s="1" t="s">
        <v>68</v>
      </c>
      <c r="D36" s="1" t="s">
        <v>28</v>
      </c>
      <c r="E36" s="1">
        <v>1500.0</v>
      </c>
      <c r="F36" s="1" t="s">
        <v>214</v>
      </c>
      <c r="G36" s="1" t="s">
        <v>59</v>
      </c>
      <c r="H36" s="1" t="s">
        <v>215</v>
      </c>
      <c r="I36" s="1" t="s">
        <v>32</v>
      </c>
      <c r="J36" s="1" t="s">
        <v>32</v>
      </c>
      <c r="K36" s="1" t="s">
        <v>32</v>
      </c>
      <c r="L36" s="1" t="s">
        <v>33</v>
      </c>
      <c r="M36" s="1" t="s">
        <v>33</v>
      </c>
      <c r="N36" s="3">
        <f t="shared" si="1"/>
        <v>20</v>
      </c>
      <c r="O36" s="3">
        <f t="shared" si="2"/>
        <v>15</v>
      </c>
      <c r="P36" s="3">
        <f t="shared" si="12"/>
        <v>0</v>
      </c>
      <c r="Q36" s="3">
        <f t="shared" si="3"/>
        <v>0</v>
      </c>
      <c r="R36" s="3">
        <f t="shared" si="4"/>
        <v>10</v>
      </c>
      <c r="S36" s="3">
        <f t="shared" si="5"/>
        <v>15</v>
      </c>
      <c r="T36" s="3">
        <f t="shared" si="6"/>
        <v>10</v>
      </c>
      <c r="U36" s="3">
        <f t="shared" si="7"/>
        <v>5</v>
      </c>
      <c r="V36" s="3">
        <f t="shared" si="8"/>
        <v>0</v>
      </c>
      <c r="W36" s="3">
        <f t="shared" si="9"/>
        <v>75</v>
      </c>
      <c r="X36" s="3" t="str">
        <f t="shared" si="10"/>
        <v> MEDIUM</v>
      </c>
      <c r="Y36" s="3" t="str">
        <f t="shared" si="11"/>
        <v>High growth signal: recent funding and active sales hiring</v>
      </c>
    </row>
    <row r="37">
      <c r="A37" s="1" t="s">
        <v>216</v>
      </c>
      <c r="B37" s="2" t="s">
        <v>217</v>
      </c>
      <c r="C37" s="1" t="s">
        <v>218</v>
      </c>
      <c r="D37" s="1" t="s">
        <v>28</v>
      </c>
      <c r="E37" s="1">
        <v>800.0</v>
      </c>
      <c r="F37" s="1" t="s">
        <v>219</v>
      </c>
      <c r="G37" s="1" t="s">
        <v>59</v>
      </c>
      <c r="H37" s="1" t="s">
        <v>220</v>
      </c>
      <c r="I37" s="1" t="s">
        <v>32</v>
      </c>
      <c r="J37" s="1" t="s">
        <v>32</v>
      </c>
      <c r="K37" s="1" t="s">
        <v>32</v>
      </c>
      <c r="L37" s="1" t="s">
        <v>33</v>
      </c>
      <c r="M37" s="1" t="s">
        <v>33</v>
      </c>
      <c r="N37" s="3">
        <f t="shared" si="1"/>
        <v>20</v>
      </c>
      <c r="O37" s="3">
        <f t="shared" si="2"/>
        <v>15</v>
      </c>
      <c r="P37" s="3">
        <f t="shared" si="12"/>
        <v>10</v>
      </c>
      <c r="Q37" s="3">
        <f t="shared" si="3"/>
        <v>0</v>
      </c>
      <c r="R37" s="3">
        <f t="shared" si="4"/>
        <v>10</v>
      </c>
      <c r="S37" s="3">
        <f t="shared" si="5"/>
        <v>15</v>
      </c>
      <c r="T37" s="3">
        <f t="shared" si="6"/>
        <v>10</v>
      </c>
      <c r="U37" s="3">
        <f t="shared" si="7"/>
        <v>5</v>
      </c>
      <c r="V37" s="3">
        <f t="shared" si="8"/>
        <v>0</v>
      </c>
      <c r="W37" s="3">
        <f t="shared" si="9"/>
        <v>85</v>
      </c>
      <c r="X37" s="3" t="str">
        <f t="shared" si="10"/>
        <v>🔥 HIGH</v>
      </c>
      <c r="Y37" s="3" t="str">
        <f t="shared" si="11"/>
        <v>High growth signal: recent funding and active sales hiring</v>
      </c>
    </row>
    <row r="38">
      <c r="A38" s="1" t="s">
        <v>221</v>
      </c>
      <c r="B38" s="2" t="s">
        <v>222</v>
      </c>
      <c r="C38" s="1" t="s">
        <v>49</v>
      </c>
      <c r="D38" s="1" t="s">
        <v>223</v>
      </c>
      <c r="E38" s="1">
        <v>200.0</v>
      </c>
      <c r="F38" s="1" t="s">
        <v>224</v>
      </c>
      <c r="G38" s="1" t="s">
        <v>59</v>
      </c>
      <c r="H38" s="1" t="s">
        <v>225</v>
      </c>
      <c r="I38" s="1" t="s">
        <v>54</v>
      </c>
      <c r="J38" s="1" t="s">
        <v>54</v>
      </c>
      <c r="K38" s="1" t="s">
        <v>32</v>
      </c>
      <c r="L38" s="1" t="s">
        <v>55</v>
      </c>
      <c r="M38" s="1" t="s">
        <v>55</v>
      </c>
      <c r="N38" s="3">
        <f t="shared" si="1"/>
        <v>0</v>
      </c>
      <c r="O38" s="3">
        <f t="shared" si="2"/>
        <v>15</v>
      </c>
      <c r="P38" s="3">
        <f t="shared" si="12"/>
        <v>10</v>
      </c>
      <c r="Q38" s="3">
        <f t="shared" si="3"/>
        <v>0</v>
      </c>
      <c r="R38" s="3">
        <f t="shared" si="4"/>
        <v>0</v>
      </c>
      <c r="S38" s="3">
        <f t="shared" si="5"/>
        <v>0</v>
      </c>
      <c r="T38" s="3">
        <f t="shared" si="6"/>
        <v>10</v>
      </c>
      <c r="U38" s="3">
        <f t="shared" si="7"/>
        <v>0</v>
      </c>
      <c r="V38" s="3">
        <f t="shared" si="8"/>
        <v>0</v>
      </c>
      <c r="W38" s="3">
        <f t="shared" si="9"/>
        <v>35</v>
      </c>
      <c r="X38" s="3" t="str">
        <f t="shared" si="10"/>
        <v> LOW</v>
      </c>
      <c r="Y38" s="3" t="str">
        <f t="shared" si="11"/>
        <v>Expansion opportunity: company entering new markets</v>
      </c>
    </row>
    <row r="39">
      <c r="A39" s="1" t="s">
        <v>226</v>
      </c>
      <c r="B39" s="2" t="s">
        <v>227</v>
      </c>
      <c r="C39" s="1" t="s">
        <v>228</v>
      </c>
      <c r="D39" s="1" t="s">
        <v>37</v>
      </c>
      <c r="E39" s="1">
        <v>700.0</v>
      </c>
      <c r="F39" s="1" t="s">
        <v>229</v>
      </c>
      <c r="G39" s="1" t="s">
        <v>145</v>
      </c>
      <c r="H39" s="1" t="s">
        <v>230</v>
      </c>
      <c r="I39" s="1" t="s">
        <v>32</v>
      </c>
      <c r="J39" s="1" t="s">
        <v>32</v>
      </c>
      <c r="K39" s="1" t="s">
        <v>32</v>
      </c>
      <c r="L39" s="1" t="s">
        <v>33</v>
      </c>
      <c r="M39" s="1" t="s">
        <v>33</v>
      </c>
      <c r="N39" s="3">
        <f t="shared" si="1"/>
        <v>20</v>
      </c>
      <c r="O39" s="3">
        <f t="shared" si="2"/>
        <v>15</v>
      </c>
      <c r="P39" s="3">
        <f t="shared" si="12"/>
        <v>10</v>
      </c>
      <c r="Q39" s="3">
        <f t="shared" si="3"/>
        <v>0</v>
      </c>
      <c r="R39" s="3">
        <f t="shared" si="4"/>
        <v>10</v>
      </c>
      <c r="S39" s="3">
        <f t="shared" si="5"/>
        <v>15</v>
      </c>
      <c r="T39" s="3">
        <f t="shared" si="6"/>
        <v>10</v>
      </c>
      <c r="U39" s="3">
        <f t="shared" si="7"/>
        <v>5</v>
      </c>
      <c r="V39" s="3">
        <f t="shared" si="8"/>
        <v>0</v>
      </c>
      <c r="W39" s="3">
        <f t="shared" si="9"/>
        <v>85</v>
      </c>
      <c r="X39" s="3" t="str">
        <f t="shared" si="10"/>
        <v>🔥 HIGH</v>
      </c>
      <c r="Y39" s="3" t="str">
        <f t="shared" si="11"/>
        <v>High growth signal: recent funding and active sales hiring</v>
      </c>
    </row>
    <row r="40">
      <c r="A40" s="1" t="s">
        <v>231</v>
      </c>
      <c r="B40" s="2" t="s">
        <v>232</v>
      </c>
      <c r="C40" s="1" t="s">
        <v>49</v>
      </c>
      <c r="D40" s="1" t="s">
        <v>233</v>
      </c>
      <c r="E40" s="1">
        <v>3000.0</v>
      </c>
      <c r="F40" s="1" t="s">
        <v>234</v>
      </c>
      <c r="G40" s="1" t="s">
        <v>30</v>
      </c>
      <c r="H40" s="1" t="s">
        <v>235</v>
      </c>
      <c r="I40" s="1" t="s">
        <v>54</v>
      </c>
      <c r="J40" s="1" t="s">
        <v>32</v>
      </c>
      <c r="K40" s="1" t="s">
        <v>32</v>
      </c>
      <c r="L40" s="1" t="s">
        <v>33</v>
      </c>
      <c r="M40" s="1" t="s">
        <v>33</v>
      </c>
      <c r="N40" s="3">
        <f t="shared" si="1"/>
        <v>20</v>
      </c>
      <c r="O40" s="3">
        <f t="shared" si="2"/>
        <v>15</v>
      </c>
      <c r="P40" s="3">
        <f t="shared" si="12"/>
        <v>10</v>
      </c>
      <c r="Q40" s="3">
        <f t="shared" si="3"/>
        <v>0</v>
      </c>
      <c r="R40" s="3">
        <f t="shared" si="4"/>
        <v>0</v>
      </c>
      <c r="S40" s="3">
        <f t="shared" si="5"/>
        <v>15</v>
      </c>
      <c r="T40" s="3">
        <f t="shared" si="6"/>
        <v>10</v>
      </c>
      <c r="U40" s="3">
        <f t="shared" si="7"/>
        <v>5</v>
      </c>
      <c r="V40" s="3">
        <f t="shared" si="8"/>
        <v>5</v>
      </c>
      <c r="W40" s="3">
        <f t="shared" si="9"/>
        <v>80</v>
      </c>
      <c r="X40" s="3" t="str">
        <f t="shared" si="10"/>
        <v>🔥 HIGH</v>
      </c>
      <c r="Y40" s="3" t="str">
        <f t="shared" si="11"/>
        <v>Expansion opportunity: company entering new markets</v>
      </c>
    </row>
    <row r="41">
      <c r="A41" s="1" t="s">
        <v>236</v>
      </c>
      <c r="B41" s="2" t="s">
        <v>237</v>
      </c>
      <c r="C41" s="1" t="s">
        <v>36</v>
      </c>
      <c r="D41" s="1" t="s">
        <v>238</v>
      </c>
      <c r="E41" s="1">
        <v>5000.0</v>
      </c>
      <c r="F41" s="1" t="s">
        <v>239</v>
      </c>
      <c r="G41" s="1" t="s">
        <v>240</v>
      </c>
      <c r="H41" s="1" t="s">
        <v>241</v>
      </c>
      <c r="I41" s="1" t="s">
        <v>54</v>
      </c>
      <c r="J41" s="1" t="s">
        <v>32</v>
      </c>
      <c r="K41" s="1" t="s">
        <v>32</v>
      </c>
      <c r="L41" s="1" t="s">
        <v>33</v>
      </c>
      <c r="M41" s="1" t="s">
        <v>33</v>
      </c>
      <c r="N41" s="3">
        <f t="shared" si="1"/>
        <v>0</v>
      </c>
      <c r="O41" s="3">
        <f t="shared" si="2"/>
        <v>15</v>
      </c>
      <c r="P41" s="3">
        <f t="shared" si="12"/>
        <v>10</v>
      </c>
      <c r="Q41" s="3">
        <f t="shared" si="3"/>
        <v>0</v>
      </c>
      <c r="R41" s="3">
        <f t="shared" si="4"/>
        <v>0</v>
      </c>
      <c r="S41" s="3">
        <f t="shared" si="5"/>
        <v>15</v>
      </c>
      <c r="T41" s="3">
        <f t="shared" si="6"/>
        <v>10</v>
      </c>
      <c r="U41" s="3">
        <f t="shared" si="7"/>
        <v>5</v>
      </c>
      <c r="V41" s="3">
        <f t="shared" si="8"/>
        <v>0</v>
      </c>
      <c r="W41" s="3">
        <f t="shared" si="9"/>
        <v>55</v>
      </c>
      <c r="X41" s="3" t="str">
        <f t="shared" si="10"/>
        <v> LOW</v>
      </c>
      <c r="Y41" s="3" t="str">
        <f t="shared" si="11"/>
        <v>Expansion opportunity: company entering new markets</v>
      </c>
    </row>
    <row r="42">
      <c r="A42" s="1" t="s">
        <v>242</v>
      </c>
      <c r="B42" s="2" t="s">
        <v>243</v>
      </c>
      <c r="C42" s="1" t="s">
        <v>68</v>
      </c>
      <c r="D42" s="1" t="s">
        <v>244</v>
      </c>
      <c r="E42" s="1">
        <v>10000.0</v>
      </c>
      <c r="F42" s="1" t="s">
        <v>245</v>
      </c>
      <c r="G42" s="1" t="s">
        <v>246</v>
      </c>
      <c r="H42" s="1" t="s">
        <v>247</v>
      </c>
      <c r="I42" s="1" t="s">
        <v>54</v>
      </c>
      <c r="J42" s="1" t="s">
        <v>32</v>
      </c>
      <c r="K42" s="1" t="s">
        <v>32</v>
      </c>
      <c r="L42" s="1" t="s">
        <v>33</v>
      </c>
      <c r="M42" s="1" t="s">
        <v>33</v>
      </c>
      <c r="N42" s="3">
        <f t="shared" si="1"/>
        <v>0</v>
      </c>
      <c r="O42" s="3">
        <f t="shared" si="2"/>
        <v>15</v>
      </c>
      <c r="P42" s="3">
        <f t="shared" si="12"/>
        <v>0</v>
      </c>
      <c r="Q42" s="3">
        <f t="shared" si="3"/>
        <v>0</v>
      </c>
      <c r="R42" s="3">
        <f t="shared" si="4"/>
        <v>0</v>
      </c>
      <c r="S42" s="3">
        <f t="shared" si="5"/>
        <v>15</v>
      </c>
      <c r="T42" s="3">
        <f t="shared" si="6"/>
        <v>10</v>
      </c>
      <c r="U42" s="3">
        <f t="shared" si="7"/>
        <v>5</v>
      </c>
      <c r="V42" s="3">
        <f t="shared" si="8"/>
        <v>0</v>
      </c>
      <c r="W42" s="3">
        <f t="shared" si="9"/>
        <v>45</v>
      </c>
      <c r="X42" s="3" t="str">
        <f t="shared" si="10"/>
        <v> LOW</v>
      </c>
      <c r="Y42" s="3" t="str">
        <f t="shared" si="11"/>
        <v>Expansion opportunity: company entering new markets</v>
      </c>
    </row>
    <row r="43">
      <c r="A43" s="1" t="s">
        <v>248</v>
      </c>
      <c r="B43" s="5" t="s">
        <v>249</v>
      </c>
      <c r="C43" s="1" t="s">
        <v>68</v>
      </c>
      <c r="D43" s="1" t="s">
        <v>112</v>
      </c>
      <c r="E43" s="1">
        <v>800.0</v>
      </c>
      <c r="F43" s="1" t="s">
        <v>250</v>
      </c>
      <c r="G43" s="1" t="s">
        <v>59</v>
      </c>
      <c r="H43" s="1" t="s">
        <v>251</v>
      </c>
      <c r="I43" s="1" t="s">
        <v>54</v>
      </c>
      <c r="J43" s="1" t="s">
        <v>32</v>
      </c>
      <c r="K43" s="1" t="s">
        <v>32</v>
      </c>
      <c r="L43" s="1" t="s">
        <v>33</v>
      </c>
      <c r="M43" s="1" t="s">
        <v>33</v>
      </c>
      <c r="N43" s="3">
        <f t="shared" si="1"/>
        <v>0</v>
      </c>
      <c r="O43" s="3">
        <f t="shared" si="2"/>
        <v>15</v>
      </c>
      <c r="P43" s="3">
        <f t="shared" si="12"/>
        <v>0</v>
      </c>
      <c r="Q43" s="3">
        <f t="shared" si="3"/>
        <v>0</v>
      </c>
      <c r="R43" s="3">
        <f t="shared" si="4"/>
        <v>0</v>
      </c>
      <c r="S43" s="3">
        <f t="shared" si="5"/>
        <v>15</v>
      </c>
      <c r="T43" s="3">
        <f t="shared" si="6"/>
        <v>10</v>
      </c>
      <c r="U43" s="3">
        <f t="shared" si="7"/>
        <v>5</v>
      </c>
      <c r="V43" s="3">
        <f t="shared" si="8"/>
        <v>0</v>
      </c>
      <c r="W43" s="3">
        <f t="shared" si="9"/>
        <v>45</v>
      </c>
      <c r="X43" s="3" t="str">
        <f t="shared" si="10"/>
        <v> LOW</v>
      </c>
      <c r="Y43" s="3" t="str">
        <f t="shared" si="11"/>
        <v>Expansion opportunity: company entering new markets</v>
      </c>
    </row>
    <row r="44">
      <c r="A44" s="1" t="s">
        <v>252</v>
      </c>
      <c r="B44" s="2" t="s">
        <v>253</v>
      </c>
      <c r="C44" s="1" t="s">
        <v>218</v>
      </c>
      <c r="D44" s="1" t="s">
        <v>254</v>
      </c>
      <c r="E44" s="1">
        <v>700.0</v>
      </c>
      <c r="F44" s="1" t="s">
        <v>255</v>
      </c>
      <c r="G44" s="1" t="s">
        <v>59</v>
      </c>
      <c r="H44" s="1" t="s">
        <v>256</v>
      </c>
      <c r="I44" s="1" t="s">
        <v>54</v>
      </c>
      <c r="J44" s="1" t="s">
        <v>32</v>
      </c>
      <c r="K44" s="1" t="s">
        <v>32</v>
      </c>
      <c r="L44" s="1" t="s">
        <v>55</v>
      </c>
      <c r="M44" s="1" t="s">
        <v>33</v>
      </c>
      <c r="N44" s="3">
        <f t="shared" si="1"/>
        <v>20</v>
      </c>
      <c r="O44" s="3">
        <f t="shared" si="2"/>
        <v>15</v>
      </c>
      <c r="P44" s="3">
        <f t="shared" si="12"/>
        <v>10</v>
      </c>
      <c r="Q44" s="3">
        <f t="shared" si="3"/>
        <v>0</v>
      </c>
      <c r="R44" s="3">
        <f t="shared" si="4"/>
        <v>0</v>
      </c>
      <c r="S44" s="3">
        <f t="shared" si="5"/>
        <v>15</v>
      </c>
      <c r="T44" s="3">
        <f t="shared" si="6"/>
        <v>10</v>
      </c>
      <c r="U44" s="3">
        <f t="shared" si="7"/>
        <v>0</v>
      </c>
      <c r="V44" s="3">
        <f t="shared" si="8"/>
        <v>0</v>
      </c>
      <c r="W44" s="3">
        <f t="shared" si="9"/>
        <v>70</v>
      </c>
      <c r="X44" s="3" t="str">
        <f t="shared" si="10"/>
        <v> MEDIUM</v>
      </c>
      <c r="Y44" s="3" t="str">
        <f t="shared" si="11"/>
        <v>Expansion opportunity: company entering new markets</v>
      </c>
    </row>
    <row r="45">
      <c r="A45" s="1" t="s">
        <v>257</v>
      </c>
      <c r="B45" s="2" t="s">
        <v>258</v>
      </c>
      <c r="C45" s="1" t="s">
        <v>27</v>
      </c>
      <c r="D45" s="1" t="s">
        <v>259</v>
      </c>
      <c r="E45" s="1">
        <v>2000.0</v>
      </c>
      <c r="F45" s="1" t="s">
        <v>260</v>
      </c>
      <c r="G45" s="1" t="s">
        <v>59</v>
      </c>
      <c r="H45" s="1" t="s">
        <v>261</v>
      </c>
      <c r="I45" s="1" t="s">
        <v>54</v>
      </c>
      <c r="J45" s="1" t="s">
        <v>32</v>
      </c>
      <c r="K45" s="1" t="s">
        <v>32</v>
      </c>
      <c r="L45" s="1" t="s">
        <v>33</v>
      </c>
      <c r="M45" s="1" t="s">
        <v>55</v>
      </c>
      <c r="N45" s="3">
        <f t="shared" si="1"/>
        <v>20</v>
      </c>
      <c r="O45" s="3">
        <f t="shared" si="2"/>
        <v>15</v>
      </c>
      <c r="P45" s="3">
        <f t="shared" si="12"/>
        <v>10</v>
      </c>
      <c r="Q45" s="3">
        <f t="shared" si="3"/>
        <v>0</v>
      </c>
      <c r="R45" s="3">
        <f t="shared" si="4"/>
        <v>0</v>
      </c>
      <c r="S45" s="3">
        <f t="shared" si="5"/>
        <v>15</v>
      </c>
      <c r="T45" s="3">
        <f t="shared" si="6"/>
        <v>10</v>
      </c>
      <c r="U45" s="3">
        <f t="shared" si="7"/>
        <v>5</v>
      </c>
      <c r="V45" s="3">
        <f t="shared" si="8"/>
        <v>0</v>
      </c>
      <c r="W45" s="3">
        <f t="shared" si="9"/>
        <v>75</v>
      </c>
      <c r="X45" s="3" t="str">
        <f t="shared" si="10"/>
        <v> MEDIUM</v>
      </c>
      <c r="Y45" s="3" t="str">
        <f t="shared" si="11"/>
        <v>Expansion opportunity: company entering new markets</v>
      </c>
    </row>
    <row r="46">
      <c r="A46" s="1" t="s">
        <v>262</v>
      </c>
      <c r="B46" s="2" t="s">
        <v>263</v>
      </c>
      <c r="C46" s="1" t="s">
        <v>68</v>
      </c>
      <c r="D46" s="1" t="s">
        <v>264</v>
      </c>
      <c r="E46" s="1">
        <v>8000.0</v>
      </c>
      <c r="F46" s="1" t="s">
        <v>265</v>
      </c>
      <c r="G46" s="1" t="s">
        <v>210</v>
      </c>
      <c r="H46" s="1" t="s">
        <v>266</v>
      </c>
      <c r="I46" s="1" t="s">
        <v>54</v>
      </c>
      <c r="J46" s="1" t="s">
        <v>32</v>
      </c>
      <c r="K46" s="1" t="s">
        <v>32</v>
      </c>
      <c r="L46" s="1" t="s">
        <v>33</v>
      </c>
      <c r="M46" s="1" t="s">
        <v>33</v>
      </c>
      <c r="N46" s="3">
        <f t="shared" si="1"/>
        <v>20</v>
      </c>
      <c r="O46" s="3">
        <f t="shared" si="2"/>
        <v>15</v>
      </c>
      <c r="P46" s="3">
        <f t="shared" si="12"/>
        <v>0</v>
      </c>
      <c r="Q46" s="3">
        <f t="shared" si="3"/>
        <v>0</v>
      </c>
      <c r="R46" s="3">
        <f t="shared" si="4"/>
        <v>0</v>
      </c>
      <c r="S46" s="3">
        <f t="shared" si="5"/>
        <v>15</v>
      </c>
      <c r="T46" s="3">
        <f t="shared" si="6"/>
        <v>10</v>
      </c>
      <c r="U46" s="3">
        <f t="shared" si="7"/>
        <v>5</v>
      </c>
      <c r="V46" s="3">
        <f t="shared" si="8"/>
        <v>0</v>
      </c>
      <c r="W46" s="3">
        <f t="shared" si="9"/>
        <v>65</v>
      </c>
      <c r="X46" s="3" t="str">
        <f t="shared" si="10"/>
        <v> MEDIUM</v>
      </c>
      <c r="Y46" s="3" t="str">
        <f t="shared" si="11"/>
        <v>Expansion opportunity: company entering new markets</v>
      </c>
    </row>
    <row r="47">
      <c r="A47" s="1" t="s">
        <v>267</v>
      </c>
      <c r="B47" s="2" t="s">
        <v>268</v>
      </c>
      <c r="C47" s="1" t="s">
        <v>68</v>
      </c>
      <c r="D47" s="1" t="s">
        <v>264</v>
      </c>
      <c r="E47" s="1">
        <v>1500.0</v>
      </c>
      <c r="F47" s="1" t="s">
        <v>269</v>
      </c>
      <c r="G47" s="1" t="s">
        <v>59</v>
      </c>
      <c r="H47" s="1" t="s">
        <v>270</v>
      </c>
      <c r="I47" s="1" t="s">
        <v>54</v>
      </c>
      <c r="J47" s="1" t="s">
        <v>32</v>
      </c>
      <c r="K47" s="1" t="s">
        <v>32</v>
      </c>
      <c r="L47" s="1" t="s">
        <v>55</v>
      </c>
      <c r="M47" s="1" t="s">
        <v>33</v>
      </c>
      <c r="N47" s="3">
        <f t="shared" si="1"/>
        <v>20</v>
      </c>
      <c r="O47" s="3">
        <f t="shared" si="2"/>
        <v>15</v>
      </c>
      <c r="P47" s="3">
        <f t="shared" si="12"/>
        <v>0</v>
      </c>
      <c r="Q47" s="3">
        <f t="shared" si="3"/>
        <v>0</v>
      </c>
      <c r="R47" s="3">
        <f t="shared" si="4"/>
        <v>0</v>
      </c>
      <c r="S47" s="3">
        <f t="shared" si="5"/>
        <v>15</v>
      </c>
      <c r="T47" s="3">
        <f t="shared" si="6"/>
        <v>10</v>
      </c>
      <c r="U47" s="3">
        <f t="shared" si="7"/>
        <v>0</v>
      </c>
      <c r="V47" s="3">
        <f t="shared" si="8"/>
        <v>0</v>
      </c>
      <c r="W47" s="3">
        <f t="shared" si="9"/>
        <v>60</v>
      </c>
      <c r="X47" s="3" t="str">
        <f t="shared" si="10"/>
        <v> MEDIUM</v>
      </c>
      <c r="Y47" s="3" t="str">
        <f t="shared" si="11"/>
        <v>Expansion opportunity: company entering new markets</v>
      </c>
    </row>
    <row r="48" ht="18.0" customHeight="1">
      <c r="A48" s="1" t="s">
        <v>271</v>
      </c>
      <c r="B48" s="2" t="s">
        <v>272</v>
      </c>
      <c r="C48" s="1" t="s">
        <v>228</v>
      </c>
      <c r="D48" s="1" t="s">
        <v>37</v>
      </c>
      <c r="E48" s="1">
        <v>4000.0</v>
      </c>
      <c r="F48" s="1" t="s">
        <v>273</v>
      </c>
      <c r="G48" s="1" t="s">
        <v>274</v>
      </c>
      <c r="H48" s="1" t="s">
        <v>275</v>
      </c>
      <c r="I48" s="1" t="s">
        <v>54</v>
      </c>
      <c r="J48" s="1" t="s">
        <v>32</v>
      </c>
      <c r="K48" s="1" t="s">
        <v>32</v>
      </c>
      <c r="L48" s="1" t="s">
        <v>33</v>
      </c>
      <c r="M48" s="1" t="s">
        <v>33</v>
      </c>
      <c r="N48" s="3">
        <f t="shared" si="1"/>
        <v>20</v>
      </c>
      <c r="O48" s="3">
        <f t="shared" si="2"/>
        <v>15</v>
      </c>
      <c r="P48" s="3">
        <f t="shared" si="12"/>
        <v>10</v>
      </c>
      <c r="Q48" s="3">
        <f t="shared" si="3"/>
        <v>0</v>
      </c>
      <c r="R48" s="3">
        <f t="shared" si="4"/>
        <v>0</v>
      </c>
      <c r="S48" s="3">
        <f t="shared" si="5"/>
        <v>15</v>
      </c>
      <c r="T48" s="3">
        <f t="shared" si="6"/>
        <v>10</v>
      </c>
      <c r="U48" s="3">
        <f t="shared" si="7"/>
        <v>5</v>
      </c>
      <c r="V48" s="3">
        <f t="shared" si="8"/>
        <v>0</v>
      </c>
      <c r="W48" s="3">
        <f t="shared" si="9"/>
        <v>75</v>
      </c>
      <c r="X48" s="3" t="str">
        <f t="shared" si="10"/>
        <v> MEDIUM</v>
      </c>
      <c r="Y48" s="3" t="str">
        <f t="shared" si="11"/>
        <v>Expansion opportunity: company entering new markets</v>
      </c>
    </row>
    <row r="49">
      <c r="A49" s="1" t="s">
        <v>276</v>
      </c>
      <c r="B49" s="2" t="s">
        <v>277</v>
      </c>
      <c r="C49" s="1" t="s">
        <v>68</v>
      </c>
      <c r="D49" s="1" t="s">
        <v>50</v>
      </c>
      <c r="E49" s="1">
        <v>7000.0</v>
      </c>
      <c r="F49" s="1" t="s">
        <v>278</v>
      </c>
      <c r="G49" s="1" t="s">
        <v>59</v>
      </c>
      <c r="H49" s="1" t="s">
        <v>279</v>
      </c>
      <c r="I49" s="1" t="s">
        <v>54</v>
      </c>
      <c r="J49" s="1" t="s">
        <v>32</v>
      </c>
      <c r="K49" s="1" t="s">
        <v>32</v>
      </c>
      <c r="L49" s="1" t="s">
        <v>33</v>
      </c>
      <c r="M49" s="1" t="s">
        <v>33</v>
      </c>
      <c r="N49" s="3">
        <f t="shared" si="1"/>
        <v>0</v>
      </c>
      <c r="O49" s="3">
        <f t="shared" si="2"/>
        <v>15</v>
      </c>
      <c r="P49" s="3">
        <f t="shared" si="12"/>
        <v>0</v>
      </c>
      <c r="Q49" s="3">
        <f t="shared" si="3"/>
        <v>0</v>
      </c>
      <c r="R49" s="3">
        <f t="shared" si="4"/>
        <v>0</v>
      </c>
      <c r="S49" s="3">
        <f t="shared" si="5"/>
        <v>15</v>
      </c>
      <c r="T49" s="3">
        <f t="shared" si="6"/>
        <v>10</v>
      </c>
      <c r="U49" s="3">
        <f t="shared" si="7"/>
        <v>5</v>
      </c>
      <c r="V49" s="3">
        <f t="shared" si="8"/>
        <v>0</v>
      </c>
      <c r="W49" s="3">
        <f t="shared" si="9"/>
        <v>45</v>
      </c>
      <c r="X49" s="3" t="str">
        <f t="shared" si="10"/>
        <v> LOW</v>
      </c>
      <c r="Y49" s="3" t="str">
        <f t="shared" si="11"/>
        <v>Expansion opportunity: company entering new markets</v>
      </c>
    </row>
    <row r="50">
      <c r="A50" s="1" t="s">
        <v>280</v>
      </c>
      <c r="B50" s="1" t="s">
        <v>281</v>
      </c>
      <c r="C50" s="1" t="s">
        <v>68</v>
      </c>
      <c r="D50" s="1" t="s">
        <v>50</v>
      </c>
      <c r="E50" s="1">
        <v>1500.0</v>
      </c>
      <c r="F50" s="1" t="s">
        <v>282</v>
      </c>
      <c r="G50" s="1" t="s">
        <v>283</v>
      </c>
      <c r="H50" s="1" t="s">
        <v>284</v>
      </c>
      <c r="I50" s="1" t="s">
        <v>32</v>
      </c>
      <c r="J50" s="1" t="s">
        <v>32</v>
      </c>
      <c r="K50" s="1" t="s">
        <v>32</v>
      </c>
      <c r="L50" s="1" t="s">
        <v>33</v>
      </c>
      <c r="M50" s="1" t="s">
        <v>33</v>
      </c>
      <c r="N50" s="3">
        <f t="shared" si="1"/>
        <v>0</v>
      </c>
      <c r="O50" s="3">
        <f t="shared" si="2"/>
        <v>15</v>
      </c>
      <c r="P50" s="3">
        <f t="shared" si="12"/>
        <v>0</v>
      </c>
      <c r="Q50" s="3">
        <f t="shared" si="3"/>
        <v>0</v>
      </c>
      <c r="R50" s="3">
        <f t="shared" si="4"/>
        <v>10</v>
      </c>
      <c r="S50" s="3">
        <f t="shared" si="5"/>
        <v>15</v>
      </c>
      <c r="T50" s="3">
        <f t="shared" si="6"/>
        <v>10</v>
      </c>
      <c r="U50" s="3">
        <f t="shared" si="7"/>
        <v>5</v>
      </c>
      <c r="V50" s="3">
        <f t="shared" si="8"/>
        <v>0</v>
      </c>
      <c r="W50" s="3">
        <f t="shared" si="9"/>
        <v>55</v>
      </c>
      <c r="X50" s="3" t="str">
        <f t="shared" si="10"/>
        <v> LOW</v>
      </c>
      <c r="Y50" s="3" t="str">
        <f t="shared" si="11"/>
        <v>High growth signal: recent funding and active sales hiring</v>
      </c>
    </row>
    <row r="51">
      <c r="A51" s="1" t="s">
        <v>285</v>
      </c>
      <c r="B51" s="2" t="s">
        <v>286</v>
      </c>
      <c r="C51" s="1" t="s">
        <v>68</v>
      </c>
      <c r="D51" s="1" t="s">
        <v>37</v>
      </c>
      <c r="E51" s="1">
        <v>6000.0</v>
      </c>
      <c r="F51" s="1" t="s">
        <v>287</v>
      </c>
      <c r="G51" s="1" t="s">
        <v>64</v>
      </c>
      <c r="H51" s="1" t="s">
        <v>288</v>
      </c>
      <c r="I51" s="1" t="s">
        <v>54</v>
      </c>
      <c r="J51" s="1" t="s">
        <v>32</v>
      </c>
      <c r="K51" s="1" t="s">
        <v>32</v>
      </c>
      <c r="L51" s="1" t="s">
        <v>33</v>
      </c>
      <c r="M51" s="1" t="s">
        <v>33</v>
      </c>
      <c r="N51" s="3">
        <f t="shared" si="1"/>
        <v>20</v>
      </c>
      <c r="O51" s="3">
        <f t="shared" si="2"/>
        <v>15</v>
      </c>
      <c r="P51" s="3">
        <f t="shared" si="12"/>
        <v>0</v>
      </c>
      <c r="Q51" s="3">
        <f t="shared" si="3"/>
        <v>0</v>
      </c>
      <c r="R51" s="3">
        <f t="shared" si="4"/>
        <v>0</v>
      </c>
      <c r="S51" s="3">
        <f t="shared" si="5"/>
        <v>15</v>
      </c>
      <c r="T51" s="3">
        <f t="shared" si="6"/>
        <v>10</v>
      </c>
      <c r="U51" s="3">
        <f t="shared" si="7"/>
        <v>5</v>
      </c>
      <c r="V51" s="3">
        <f t="shared" si="8"/>
        <v>0</v>
      </c>
      <c r="W51" s="3">
        <f t="shared" si="9"/>
        <v>65</v>
      </c>
      <c r="X51" s="3" t="str">
        <f t="shared" si="10"/>
        <v> MEDIUM</v>
      </c>
      <c r="Y51" s="3" t="str">
        <f t="shared" si="11"/>
        <v>Expansion opportunity: company entering new markets</v>
      </c>
    </row>
    <row r="52">
      <c r="A52" s="1" t="s">
        <v>289</v>
      </c>
      <c r="B52" s="2" t="s">
        <v>290</v>
      </c>
      <c r="C52" s="1" t="s">
        <v>68</v>
      </c>
      <c r="D52" s="1" t="s">
        <v>37</v>
      </c>
      <c r="E52" s="1">
        <v>2000.0</v>
      </c>
      <c r="F52" s="1" t="s">
        <v>291</v>
      </c>
      <c r="G52" s="1" t="s">
        <v>292</v>
      </c>
      <c r="H52" s="1" t="s">
        <v>293</v>
      </c>
      <c r="I52" s="1" t="s">
        <v>32</v>
      </c>
      <c r="J52" s="1" t="s">
        <v>32</v>
      </c>
      <c r="K52" s="1" t="s">
        <v>32</v>
      </c>
      <c r="L52" s="1" t="s">
        <v>33</v>
      </c>
      <c r="M52" s="1" t="s">
        <v>33</v>
      </c>
      <c r="N52" s="3">
        <f t="shared" si="1"/>
        <v>20</v>
      </c>
      <c r="O52" s="3">
        <f t="shared" si="2"/>
        <v>15</v>
      </c>
      <c r="P52" s="3">
        <f t="shared" si="12"/>
        <v>0</v>
      </c>
      <c r="Q52" s="3">
        <f t="shared" si="3"/>
        <v>0</v>
      </c>
      <c r="R52" s="3">
        <f t="shared" si="4"/>
        <v>10</v>
      </c>
      <c r="S52" s="3">
        <f t="shared" si="5"/>
        <v>15</v>
      </c>
      <c r="T52" s="3">
        <f t="shared" si="6"/>
        <v>10</v>
      </c>
      <c r="U52" s="3">
        <f t="shared" si="7"/>
        <v>5</v>
      </c>
      <c r="V52" s="3">
        <f t="shared" si="8"/>
        <v>0</v>
      </c>
      <c r="W52" s="3">
        <f t="shared" si="9"/>
        <v>75</v>
      </c>
      <c r="X52" s="3" t="str">
        <f t="shared" si="10"/>
        <v> MEDIUM</v>
      </c>
      <c r="Y52" s="3" t="str">
        <f t="shared" si="11"/>
        <v>High growth signal: recent funding and active sales hiring</v>
      </c>
    </row>
    <row r="53">
      <c r="A53" s="1" t="s">
        <v>294</v>
      </c>
      <c r="B53" s="2" t="s">
        <v>295</v>
      </c>
      <c r="C53" s="1" t="s">
        <v>27</v>
      </c>
      <c r="D53" s="1" t="s">
        <v>37</v>
      </c>
      <c r="E53" s="1">
        <v>3000.0</v>
      </c>
      <c r="F53" s="1" t="s">
        <v>296</v>
      </c>
      <c r="G53" s="1" t="s">
        <v>59</v>
      </c>
      <c r="H53" s="1" t="s">
        <v>297</v>
      </c>
      <c r="I53" s="1" t="s">
        <v>32</v>
      </c>
      <c r="J53" s="1" t="s">
        <v>32</v>
      </c>
      <c r="K53" s="1" t="s">
        <v>32</v>
      </c>
      <c r="L53" s="1" t="s">
        <v>33</v>
      </c>
      <c r="M53" s="1" t="s">
        <v>55</v>
      </c>
      <c r="N53" s="3">
        <f t="shared" si="1"/>
        <v>20</v>
      </c>
      <c r="O53" s="3">
        <f t="shared" si="2"/>
        <v>15</v>
      </c>
      <c r="P53" s="3">
        <f t="shared" si="12"/>
        <v>10</v>
      </c>
      <c r="Q53" s="3">
        <f t="shared" si="3"/>
        <v>0</v>
      </c>
      <c r="R53" s="3">
        <f t="shared" si="4"/>
        <v>10</v>
      </c>
      <c r="S53" s="3">
        <f t="shared" si="5"/>
        <v>15</v>
      </c>
      <c r="T53" s="3">
        <f t="shared" si="6"/>
        <v>10</v>
      </c>
      <c r="U53" s="3">
        <f t="shared" si="7"/>
        <v>5</v>
      </c>
      <c r="V53" s="3">
        <f t="shared" si="8"/>
        <v>0</v>
      </c>
      <c r="W53" s="3">
        <f t="shared" si="9"/>
        <v>85</v>
      </c>
      <c r="X53" s="3" t="str">
        <f t="shared" si="10"/>
        <v>🔥 HIGH</v>
      </c>
      <c r="Y53" s="3" t="str">
        <f t="shared" si="11"/>
        <v>High growth signal: recent funding and active sales hiring</v>
      </c>
    </row>
    <row r="54">
      <c r="A54" s="1" t="s">
        <v>298</v>
      </c>
      <c r="B54" s="2" t="s">
        <v>299</v>
      </c>
      <c r="C54" s="1" t="s">
        <v>36</v>
      </c>
      <c r="D54" s="1" t="s">
        <v>300</v>
      </c>
      <c r="E54" s="1">
        <v>2500.0</v>
      </c>
      <c r="F54" s="1" t="s">
        <v>301</v>
      </c>
      <c r="G54" s="1" t="s">
        <v>64</v>
      </c>
      <c r="H54" s="1" t="s">
        <v>302</v>
      </c>
      <c r="I54" s="1" t="s">
        <v>32</v>
      </c>
      <c r="J54" s="1" t="s">
        <v>32</v>
      </c>
      <c r="K54" s="1" t="s">
        <v>32</v>
      </c>
      <c r="L54" s="1" t="s">
        <v>33</v>
      </c>
      <c r="M54" s="1" t="s">
        <v>33</v>
      </c>
      <c r="N54" s="3">
        <f t="shared" si="1"/>
        <v>20</v>
      </c>
      <c r="O54" s="3">
        <f t="shared" si="2"/>
        <v>15</v>
      </c>
      <c r="P54" s="3">
        <f t="shared" si="12"/>
        <v>10</v>
      </c>
      <c r="Q54" s="3">
        <f t="shared" si="3"/>
        <v>0</v>
      </c>
      <c r="R54" s="3">
        <f t="shared" si="4"/>
        <v>10</v>
      </c>
      <c r="S54" s="3">
        <f t="shared" si="5"/>
        <v>15</v>
      </c>
      <c r="T54" s="3">
        <f t="shared" si="6"/>
        <v>10</v>
      </c>
      <c r="U54" s="3">
        <f t="shared" si="7"/>
        <v>5</v>
      </c>
      <c r="V54" s="3">
        <f t="shared" si="8"/>
        <v>0</v>
      </c>
      <c r="W54" s="3">
        <f t="shared" si="9"/>
        <v>85</v>
      </c>
      <c r="X54" s="3" t="str">
        <f t="shared" si="10"/>
        <v>🔥 HIGH</v>
      </c>
      <c r="Y54" s="3" t="str">
        <f t="shared" si="11"/>
        <v>High growth signal: recent funding and active sales hiring</v>
      </c>
    </row>
    <row r="55">
      <c r="A55" s="1" t="s">
        <v>303</v>
      </c>
      <c r="B55" s="2" t="s">
        <v>304</v>
      </c>
      <c r="C55" s="1" t="s">
        <v>36</v>
      </c>
      <c r="D55" s="1" t="s">
        <v>305</v>
      </c>
      <c r="E55" s="1">
        <v>900.0</v>
      </c>
      <c r="F55" s="1" t="s">
        <v>306</v>
      </c>
      <c r="G55" s="1" t="s">
        <v>59</v>
      </c>
      <c r="H55" s="1" t="s">
        <v>307</v>
      </c>
      <c r="I55" s="1" t="s">
        <v>32</v>
      </c>
      <c r="J55" s="1" t="s">
        <v>32</v>
      </c>
      <c r="K55" s="1" t="s">
        <v>32</v>
      </c>
      <c r="L55" s="1" t="s">
        <v>33</v>
      </c>
      <c r="M55" s="1" t="s">
        <v>33</v>
      </c>
      <c r="N55" s="3">
        <f t="shared" si="1"/>
        <v>20</v>
      </c>
      <c r="O55" s="3">
        <f t="shared" si="2"/>
        <v>15</v>
      </c>
      <c r="P55" s="3">
        <f t="shared" si="12"/>
        <v>10</v>
      </c>
      <c r="Q55" s="3">
        <f t="shared" si="3"/>
        <v>0</v>
      </c>
      <c r="R55" s="3">
        <f t="shared" si="4"/>
        <v>10</v>
      </c>
      <c r="S55" s="3">
        <f t="shared" si="5"/>
        <v>15</v>
      </c>
      <c r="T55" s="3">
        <f t="shared" si="6"/>
        <v>10</v>
      </c>
      <c r="U55" s="3">
        <f t="shared" si="7"/>
        <v>5</v>
      </c>
      <c r="V55" s="3">
        <f t="shared" si="8"/>
        <v>0</v>
      </c>
      <c r="W55" s="3">
        <f t="shared" si="9"/>
        <v>85</v>
      </c>
      <c r="X55" s="3" t="str">
        <f t="shared" si="10"/>
        <v>🔥 HIGH</v>
      </c>
      <c r="Y55" s="3" t="str">
        <f t="shared" si="11"/>
        <v>High growth signal: recent funding and active sales hiring</v>
      </c>
    </row>
    <row r="56">
      <c r="A56" s="1" t="s">
        <v>308</v>
      </c>
      <c r="B56" s="5" t="s">
        <v>309</v>
      </c>
      <c r="C56" s="1" t="s">
        <v>68</v>
      </c>
      <c r="D56" s="1" t="s">
        <v>155</v>
      </c>
      <c r="E56" s="1">
        <v>300.0</v>
      </c>
      <c r="F56" s="1" t="s">
        <v>310</v>
      </c>
      <c r="G56" s="1" t="s">
        <v>59</v>
      </c>
      <c r="H56" s="1" t="s">
        <v>311</v>
      </c>
      <c r="I56" s="1" t="s">
        <v>32</v>
      </c>
      <c r="J56" s="1" t="s">
        <v>32</v>
      </c>
      <c r="K56" s="1" t="s">
        <v>32</v>
      </c>
      <c r="L56" s="1" t="s">
        <v>33</v>
      </c>
      <c r="M56" s="1" t="s">
        <v>33</v>
      </c>
      <c r="N56" s="3">
        <f t="shared" si="1"/>
        <v>20</v>
      </c>
      <c r="O56" s="3">
        <f t="shared" si="2"/>
        <v>15</v>
      </c>
      <c r="P56" s="3">
        <f t="shared" si="12"/>
        <v>0</v>
      </c>
      <c r="Q56" s="3">
        <f t="shared" si="3"/>
        <v>0</v>
      </c>
      <c r="R56" s="3">
        <f t="shared" si="4"/>
        <v>10</v>
      </c>
      <c r="S56" s="3">
        <f t="shared" si="5"/>
        <v>15</v>
      </c>
      <c r="T56" s="3">
        <f t="shared" si="6"/>
        <v>10</v>
      </c>
      <c r="U56" s="3">
        <f t="shared" si="7"/>
        <v>5</v>
      </c>
      <c r="V56" s="3">
        <f t="shared" si="8"/>
        <v>0</v>
      </c>
      <c r="W56" s="3">
        <f t="shared" si="9"/>
        <v>75</v>
      </c>
      <c r="X56" s="3" t="str">
        <f t="shared" si="10"/>
        <v> MEDIUM</v>
      </c>
      <c r="Y56" s="3" t="str">
        <f t="shared" si="11"/>
        <v>High growth signal: recent funding and active sales hiring</v>
      </c>
    </row>
    <row r="57">
      <c r="A57" s="1" t="s">
        <v>312</v>
      </c>
      <c r="B57" s="2" t="s">
        <v>313</v>
      </c>
      <c r="C57" s="1" t="s">
        <v>36</v>
      </c>
      <c r="D57" s="1" t="s">
        <v>314</v>
      </c>
      <c r="E57" s="1">
        <v>3000.0</v>
      </c>
      <c r="F57" s="1" t="s">
        <v>315</v>
      </c>
      <c r="G57" s="1" t="s">
        <v>176</v>
      </c>
      <c r="H57" s="1" t="s">
        <v>316</v>
      </c>
      <c r="I57" s="1" t="s">
        <v>54</v>
      </c>
      <c r="J57" s="1" t="s">
        <v>32</v>
      </c>
      <c r="K57" s="1" t="s">
        <v>32</v>
      </c>
      <c r="L57" s="1" t="s">
        <v>33</v>
      </c>
      <c r="M57" s="1" t="s">
        <v>55</v>
      </c>
      <c r="N57" s="3">
        <f t="shared" si="1"/>
        <v>20</v>
      </c>
      <c r="O57" s="3">
        <f t="shared" si="2"/>
        <v>15</v>
      </c>
      <c r="P57" s="3">
        <f t="shared" si="12"/>
        <v>10</v>
      </c>
      <c r="Q57" s="3">
        <f t="shared" si="3"/>
        <v>0</v>
      </c>
      <c r="R57" s="3">
        <f t="shared" si="4"/>
        <v>0</v>
      </c>
      <c r="S57" s="3">
        <f t="shared" si="5"/>
        <v>15</v>
      </c>
      <c r="T57" s="3">
        <f t="shared" si="6"/>
        <v>10</v>
      </c>
      <c r="U57" s="3">
        <f t="shared" si="7"/>
        <v>5</v>
      </c>
      <c r="V57" s="3">
        <f t="shared" si="8"/>
        <v>0</v>
      </c>
      <c r="W57" s="3">
        <f t="shared" si="9"/>
        <v>75</v>
      </c>
      <c r="X57" s="3" t="str">
        <f t="shared" si="10"/>
        <v> MEDIUM</v>
      </c>
      <c r="Y57" s="3" t="str">
        <f t="shared" si="11"/>
        <v>Expansion opportunity: company entering new markets</v>
      </c>
    </row>
    <row r="58">
      <c r="A58" s="1" t="s">
        <v>317</v>
      </c>
      <c r="B58" s="2" t="s">
        <v>318</v>
      </c>
      <c r="C58" s="1" t="s">
        <v>36</v>
      </c>
      <c r="D58" s="1" t="s">
        <v>314</v>
      </c>
      <c r="E58" s="1">
        <v>500.0</v>
      </c>
      <c r="F58" s="1" t="s">
        <v>319</v>
      </c>
      <c r="G58" s="1" t="s">
        <v>320</v>
      </c>
      <c r="H58" s="1" t="s">
        <v>321</v>
      </c>
      <c r="I58" s="1" t="s">
        <v>32</v>
      </c>
      <c r="J58" s="1" t="s">
        <v>32</v>
      </c>
      <c r="K58" s="1" t="s">
        <v>32</v>
      </c>
      <c r="L58" s="1" t="s">
        <v>33</v>
      </c>
      <c r="M58" s="1" t="s">
        <v>33</v>
      </c>
      <c r="N58" s="3">
        <f t="shared" si="1"/>
        <v>20</v>
      </c>
      <c r="O58" s="3">
        <f t="shared" si="2"/>
        <v>15</v>
      </c>
      <c r="P58" s="3">
        <f t="shared" si="12"/>
        <v>10</v>
      </c>
      <c r="Q58" s="3">
        <f t="shared" si="3"/>
        <v>0</v>
      </c>
      <c r="R58" s="3">
        <f t="shared" si="4"/>
        <v>10</v>
      </c>
      <c r="S58" s="3">
        <f t="shared" si="5"/>
        <v>15</v>
      </c>
      <c r="T58" s="3">
        <f t="shared" si="6"/>
        <v>10</v>
      </c>
      <c r="U58" s="3">
        <f t="shared" si="7"/>
        <v>5</v>
      </c>
      <c r="V58" s="3">
        <f t="shared" si="8"/>
        <v>0</v>
      </c>
      <c r="W58" s="3">
        <f t="shared" si="9"/>
        <v>85</v>
      </c>
      <c r="X58" s="3" t="str">
        <f t="shared" si="10"/>
        <v>🔥 HIGH</v>
      </c>
      <c r="Y58" s="3" t="str">
        <f t="shared" si="11"/>
        <v>High growth signal: recent funding and active sales hiring</v>
      </c>
    </row>
    <row r="59">
      <c r="A59" s="1" t="s">
        <v>322</v>
      </c>
      <c r="B59" s="5" t="s">
        <v>323</v>
      </c>
      <c r="C59" s="1" t="s">
        <v>324</v>
      </c>
      <c r="D59" s="1" t="s">
        <v>325</v>
      </c>
      <c r="E59" s="1">
        <v>2000.0</v>
      </c>
      <c r="F59" s="1" t="s">
        <v>326</v>
      </c>
      <c r="G59" s="1" t="s">
        <v>59</v>
      </c>
      <c r="H59" s="1" t="s">
        <v>327</v>
      </c>
      <c r="I59" s="1" t="s">
        <v>54</v>
      </c>
      <c r="J59" s="1" t="s">
        <v>32</v>
      </c>
      <c r="K59" s="1" t="s">
        <v>32</v>
      </c>
      <c r="L59" s="1" t="s">
        <v>33</v>
      </c>
      <c r="M59" s="1" t="s">
        <v>33</v>
      </c>
      <c r="N59" s="3">
        <f t="shared" si="1"/>
        <v>0</v>
      </c>
      <c r="O59" s="3">
        <f t="shared" si="2"/>
        <v>15</v>
      </c>
      <c r="P59" s="3">
        <f t="shared" si="12"/>
        <v>0</v>
      </c>
      <c r="Q59" s="3">
        <f t="shared" si="3"/>
        <v>0</v>
      </c>
      <c r="R59" s="3">
        <f t="shared" si="4"/>
        <v>0</v>
      </c>
      <c r="S59" s="3">
        <f t="shared" si="5"/>
        <v>15</v>
      </c>
      <c r="T59" s="3">
        <f t="shared" si="6"/>
        <v>10</v>
      </c>
      <c r="U59" s="3">
        <f t="shared" si="7"/>
        <v>5</v>
      </c>
      <c r="V59" s="3">
        <f t="shared" si="8"/>
        <v>0</v>
      </c>
      <c r="W59" s="3">
        <f t="shared" si="9"/>
        <v>45</v>
      </c>
      <c r="X59" s="3" t="str">
        <f t="shared" si="10"/>
        <v> LOW</v>
      </c>
      <c r="Y59" s="3" t="str">
        <f t="shared" si="11"/>
        <v>Expansion opportunity: company entering new markets</v>
      </c>
    </row>
    <row r="60">
      <c r="A60" s="1" t="s">
        <v>328</v>
      </c>
      <c r="B60" s="2" t="s">
        <v>329</v>
      </c>
      <c r="C60" s="1" t="s">
        <v>49</v>
      </c>
      <c r="D60" s="1" t="s">
        <v>325</v>
      </c>
      <c r="E60" s="1">
        <v>1000.0</v>
      </c>
      <c r="F60" s="1" t="s">
        <v>330</v>
      </c>
      <c r="G60" s="1" t="s">
        <v>59</v>
      </c>
      <c r="H60" s="1" t="s">
        <v>331</v>
      </c>
      <c r="I60" s="1" t="s">
        <v>32</v>
      </c>
      <c r="J60" s="1" t="s">
        <v>32</v>
      </c>
      <c r="K60" s="1" t="s">
        <v>32</v>
      </c>
      <c r="L60" s="1" t="s">
        <v>33</v>
      </c>
      <c r="M60" s="1" t="s">
        <v>33</v>
      </c>
      <c r="N60" s="3">
        <f t="shared" si="1"/>
        <v>0</v>
      </c>
      <c r="O60" s="3">
        <f t="shared" si="2"/>
        <v>15</v>
      </c>
      <c r="P60" s="3">
        <f t="shared" si="12"/>
        <v>10</v>
      </c>
      <c r="Q60" s="3">
        <f t="shared" si="3"/>
        <v>0</v>
      </c>
      <c r="R60" s="3">
        <f t="shared" si="4"/>
        <v>10</v>
      </c>
      <c r="S60" s="3">
        <f t="shared" si="5"/>
        <v>15</v>
      </c>
      <c r="T60" s="3">
        <f t="shared" si="6"/>
        <v>10</v>
      </c>
      <c r="U60" s="3">
        <f t="shared" si="7"/>
        <v>5</v>
      </c>
      <c r="V60" s="3">
        <f t="shared" si="8"/>
        <v>0</v>
      </c>
      <c r="W60" s="3">
        <f t="shared" si="9"/>
        <v>65</v>
      </c>
      <c r="X60" s="3" t="str">
        <f t="shared" si="10"/>
        <v> MEDIUM</v>
      </c>
      <c r="Y60" s="3" t="str">
        <f t="shared" si="11"/>
        <v>High growth signal: recent funding and active sales hiring</v>
      </c>
    </row>
    <row r="61">
      <c r="A61" s="1" t="s">
        <v>332</v>
      </c>
      <c r="B61" s="2" t="s">
        <v>333</v>
      </c>
      <c r="C61" s="1" t="s">
        <v>68</v>
      </c>
      <c r="D61" s="1" t="s">
        <v>325</v>
      </c>
      <c r="E61" s="1">
        <v>7000.0</v>
      </c>
      <c r="F61" s="1" t="s">
        <v>334</v>
      </c>
      <c r="G61" s="1" t="s">
        <v>335</v>
      </c>
      <c r="H61" s="1" t="s">
        <v>336</v>
      </c>
      <c r="I61" s="1" t="s">
        <v>54</v>
      </c>
      <c r="J61" s="1" t="s">
        <v>32</v>
      </c>
      <c r="K61" s="1" t="s">
        <v>32</v>
      </c>
      <c r="L61" s="1" t="s">
        <v>33</v>
      </c>
      <c r="M61" s="1" t="s">
        <v>33</v>
      </c>
      <c r="N61" s="3">
        <f t="shared" si="1"/>
        <v>0</v>
      </c>
      <c r="O61" s="3">
        <f t="shared" si="2"/>
        <v>15</v>
      </c>
      <c r="P61" s="3">
        <f t="shared" si="12"/>
        <v>0</v>
      </c>
      <c r="Q61" s="3">
        <f t="shared" si="3"/>
        <v>10</v>
      </c>
      <c r="R61" s="3">
        <f t="shared" si="4"/>
        <v>0</v>
      </c>
      <c r="S61" s="3">
        <f t="shared" si="5"/>
        <v>15</v>
      </c>
      <c r="T61" s="3">
        <f t="shared" si="6"/>
        <v>10</v>
      </c>
      <c r="U61" s="3">
        <f t="shared" si="7"/>
        <v>5</v>
      </c>
      <c r="V61" s="3">
        <f t="shared" si="8"/>
        <v>5</v>
      </c>
      <c r="W61" s="3">
        <f t="shared" si="9"/>
        <v>60</v>
      </c>
      <c r="X61" s="3" t="str">
        <f t="shared" si="10"/>
        <v> MEDIUM</v>
      </c>
      <c r="Y61" s="3" t="str">
        <f t="shared" si="11"/>
        <v>Expansion opportunity: company entering new markets</v>
      </c>
    </row>
    <row r="62">
      <c r="A62" s="1" t="s">
        <v>337</v>
      </c>
      <c r="B62" s="2" t="s">
        <v>338</v>
      </c>
      <c r="C62" s="1" t="s">
        <v>339</v>
      </c>
      <c r="D62" s="1" t="s">
        <v>340</v>
      </c>
      <c r="E62" s="1">
        <v>4000.0</v>
      </c>
      <c r="F62" s="1" t="s">
        <v>341</v>
      </c>
      <c r="G62" s="1" t="s">
        <v>210</v>
      </c>
      <c r="H62" s="1" t="s">
        <v>342</v>
      </c>
      <c r="I62" s="1" t="s">
        <v>54</v>
      </c>
      <c r="J62" s="1" t="s">
        <v>32</v>
      </c>
      <c r="K62" s="1" t="s">
        <v>32</v>
      </c>
      <c r="L62" s="1" t="s">
        <v>33</v>
      </c>
      <c r="M62" s="1" t="s">
        <v>33</v>
      </c>
      <c r="N62" s="3">
        <f t="shared" si="1"/>
        <v>20</v>
      </c>
      <c r="O62" s="3">
        <f t="shared" si="2"/>
        <v>15</v>
      </c>
      <c r="P62" s="3">
        <f t="shared" si="12"/>
        <v>0</v>
      </c>
      <c r="Q62" s="3">
        <f t="shared" si="3"/>
        <v>0</v>
      </c>
      <c r="R62" s="3">
        <f t="shared" si="4"/>
        <v>0</v>
      </c>
      <c r="S62" s="3">
        <f t="shared" si="5"/>
        <v>15</v>
      </c>
      <c r="T62" s="3">
        <f t="shared" si="6"/>
        <v>10</v>
      </c>
      <c r="U62" s="3">
        <f t="shared" si="7"/>
        <v>5</v>
      </c>
      <c r="V62" s="3">
        <f t="shared" si="8"/>
        <v>0</v>
      </c>
      <c r="W62" s="3">
        <f t="shared" si="9"/>
        <v>65</v>
      </c>
      <c r="X62" s="3" t="str">
        <f t="shared" si="10"/>
        <v> MEDIUM</v>
      </c>
      <c r="Y62" s="3" t="str">
        <f t="shared" si="11"/>
        <v>Expansion opportunity: company entering new markets</v>
      </c>
    </row>
    <row r="63">
      <c r="A63" s="1" t="s">
        <v>343</v>
      </c>
      <c r="B63" s="2" t="s">
        <v>344</v>
      </c>
      <c r="C63" s="1" t="s">
        <v>68</v>
      </c>
      <c r="D63" s="1" t="s">
        <v>340</v>
      </c>
      <c r="E63" s="1">
        <v>3000.0</v>
      </c>
      <c r="F63" s="1" t="s">
        <v>345</v>
      </c>
      <c r="G63" s="1" t="s">
        <v>30</v>
      </c>
      <c r="H63" s="1" t="s">
        <v>346</v>
      </c>
      <c r="I63" s="1" t="s">
        <v>54</v>
      </c>
      <c r="J63" s="1" t="s">
        <v>32</v>
      </c>
      <c r="K63" s="1" t="s">
        <v>32</v>
      </c>
      <c r="L63" s="1" t="s">
        <v>33</v>
      </c>
      <c r="M63" s="1" t="s">
        <v>33</v>
      </c>
      <c r="N63" s="3">
        <f t="shared" si="1"/>
        <v>20</v>
      </c>
      <c r="O63" s="3">
        <f t="shared" si="2"/>
        <v>15</v>
      </c>
      <c r="P63" s="3">
        <f t="shared" si="12"/>
        <v>0</v>
      </c>
      <c r="Q63" s="3">
        <f t="shared" si="3"/>
        <v>0</v>
      </c>
      <c r="R63" s="3">
        <f t="shared" si="4"/>
        <v>0</v>
      </c>
      <c r="S63" s="3">
        <f t="shared" si="5"/>
        <v>15</v>
      </c>
      <c r="T63" s="3">
        <f t="shared" si="6"/>
        <v>10</v>
      </c>
      <c r="U63" s="3">
        <f t="shared" si="7"/>
        <v>5</v>
      </c>
      <c r="V63" s="3">
        <f t="shared" si="8"/>
        <v>5</v>
      </c>
      <c r="W63" s="3">
        <f t="shared" si="9"/>
        <v>70</v>
      </c>
      <c r="X63" s="3" t="str">
        <f t="shared" si="10"/>
        <v> MEDIUM</v>
      </c>
      <c r="Y63" s="3" t="str">
        <f t="shared" si="11"/>
        <v>Expansion opportunity: company entering new markets</v>
      </c>
    </row>
    <row r="64">
      <c r="A64" s="1" t="s">
        <v>347</v>
      </c>
      <c r="B64" s="2" t="s">
        <v>348</v>
      </c>
      <c r="C64" s="1" t="s">
        <v>349</v>
      </c>
      <c r="D64" s="1" t="s">
        <v>350</v>
      </c>
      <c r="E64" s="1">
        <v>300.0</v>
      </c>
      <c r="F64" s="1" t="s">
        <v>351</v>
      </c>
      <c r="G64" s="1" t="s">
        <v>352</v>
      </c>
      <c r="H64" s="1" t="s">
        <v>353</v>
      </c>
      <c r="I64" s="1" t="s">
        <v>32</v>
      </c>
      <c r="J64" s="1" t="s">
        <v>32</v>
      </c>
      <c r="K64" s="1" t="s">
        <v>32</v>
      </c>
      <c r="L64" s="1" t="s">
        <v>55</v>
      </c>
      <c r="M64" s="1" t="s">
        <v>33</v>
      </c>
      <c r="N64" s="3">
        <f t="shared" si="1"/>
        <v>20</v>
      </c>
      <c r="O64" s="3">
        <f t="shared" si="2"/>
        <v>15</v>
      </c>
      <c r="P64" s="3">
        <f t="shared" si="12"/>
        <v>0</v>
      </c>
      <c r="Q64" s="3">
        <f t="shared" si="3"/>
        <v>10</v>
      </c>
      <c r="R64" s="3">
        <f t="shared" si="4"/>
        <v>10</v>
      </c>
      <c r="S64" s="3">
        <f t="shared" si="5"/>
        <v>15</v>
      </c>
      <c r="T64" s="3">
        <f t="shared" si="6"/>
        <v>10</v>
      </c>
      <c r="U64" s="3">
        <f t="shared" si="7"/>
        <v>0</v>
      </c>
      <c r="V64" s="3">
        <f t="shared" si="8"/>
        <v>0</v>
      </c>
      <c r="W64" s="3">
        <f t="shared" si="9"/>
        <v>80</v>
      </c>
      <c r="X64" s="3" t="str">
        <f t="shared" si="10"/>
        <v>🔥 HIGH</v>
      </c>
      <c r="Y64" s="3" t="str">
        <f t="shared" si="11"/>
        <v>High growth signal: recent funding and active sales hiring</v>
      </c>
    </row>
    <row r="65">
      <c r="A65" s="1" t="s">
        <v>354</v>
      </c>
      <c r="B65" s="2" t="s">
        <v>355</v>
      </c>
      <c r="C65" s="1" t="s">
        <v>43</v>
      </c>
      <c r="D65" s="1" t="s">
        <v>350</v>
      </c>
      <c r="E65" s="1">
        <v>800.0</v>
      </c>
      <c r="F65" s="1" t="s">
        <v>356</v>
      </c>
      <c r="G65" s="1" t="s">
        <v>335</v>
      </c>
      <c r="H65" s="1" t="s">
        <v>357</v>
      </c>
      <c r="I65" s="1" t="s">
        <v>54</v>
      </c>
      <c r="J65" s="1" t="s">
        <v>32</v>
      </c>
      <c r="K65" s="1" t="s">
        <v>32</v>
      </c>
      <c r="L65" s="1" t="s">
        <v>55</v>
      </c>
      <c r="M65" s="1" t="s">
        <v>55</v>
      </c>
      <c r="N65" s="3">
        <f t="shared" si="1"/>
        <v>20</v>
      </c>
      <c r="O65" s="3">
        <f t="shared" si="2"/>
        <v>15</v>
      </c>
      <c r="P65" s="3">
        <f t="shared" si="12"/>
        <v>10</v>
      </c>
      <c r="Q65" s="3">
        <f t="shared" si="3"/>
        <v>10</v>
      </c>
      <c r="R65" s="3">
        <f t="shared" si="4"/>
        <v>0</v>
      </c>
      <c r="S65" s="3">
        <f t="shared" si="5"/>
        <v>15</v>
      </c>
      <c r="T65" s="3">
        <f t="shared" si="6"/>
        <v>10</v>
      </c>
      <c r="U65" s="3">
        <f t="shared" si="7"/>
        <v>0</v>
      </c>
      <c r="V65" s="3">
        <f t="shared" si="8"/>
        <v>5</v>
      </c>
      <c r="W65" s="3">
        <f t="shared" si="9"/>
        <v>85</v>
      </c>
      <c r="X65" s="3" t="str">
        <f t="shared" si="10"/>
        <v>🔥 HIGH</v>
      </c>
      <c r="Y65" s="3" t="str">
        <f t="shared" si="11"/>
        <v>Expansion opportunity: company entering new markets</v>
      </c>
    </row>
    <row r="66">
      <c r="A66" s="1" t="s">
        <v>358</v>
      </c>
      <c r="B66" s="2" t="s">
        <v>359</v>
      </c>
      <c r="C66" s="1" t="s">
        <v>43</v>
      </c>
      <c r="D66" s="1" t="s">
        <v>360</v>
      </c>
      <c r="E66" s="1">
        <v>700.0</v>
      </c>
      <c r="F66" s="1" t="s">
        <v>361</v>
      </c>
      <c r="G66" s="1" t="s">
        <v>240</v>
      </c>
      <c r="H66" s="1" t="s">
        <v>362</v>
      </c>
      <c r="I66" s="1" t="s">
        <v>32</v>
      </c>
      <c r="J66" s="1" t="s">
        <v>32</v>
      </c>
      <c r="K66" s="1" t="s">
        <v>32</v>
      </c>
      <c r="L66" s="1" t="s">
        <v>55</v>
      </c>
      <c r="M66" s="1" t="s">
        <v>33</v>
      </c>
      <c r="N66" s="3">
        <f t="shared" si="1"/>
        <v>20</v>
      </c>
      <c r="O66" s="3">
        <f t="shared" si="2"/>
        <v>15</v>
      </c>
      <c r="P66" s="3">
        <f t="shared" si="12"/>
        <v>10</v>
      </c>
      <c r="Q66" s="3">
        <f t="shared" si="3"/>
        <v>0</v>
      </c>
      <c r="R66" s="3">
        <f t="shared" si="4"/>
        <v>10</v>
      </c>
      <c r="S66" s="3">
        <f t="shared" si="5"/>
        <v>15</v>
      </c>
      <c r="T66" s="3">
        <f t="shared" si="6"/>
        <v>10</v>
      </c>
      <c r="U66" s="3">
        <f t="shared" si="7"/>
        <v>0</v>
      </c>
      <c r="V66" s="3">
        <f t="shared" si="8"/>
        <v>0</v>
      </c>
      <c r="W66" s="3">
        <f t="shared" si="9"/>
        <v>80</v>
      </c>
      <c r="X66" s="3" t="str">
        <f t="shared" si="10"/>
        <v>🔥 HIGH</v>
      </c>
      <c r="Y66" s="3" t="str">
        <f t="shared" si="11"/>
        <v>High growth signal: recent funding and active sales hiring</v>
      </c>
    </row>
    <row r="67">
      <c r="A67" s="1" t="s">
        <v>363</v>
      </c>
      <c r="B67" s="5" t="s">
        <v>364</v>
      </c>
      <c r="C67" s="1" t="s">
        <v>365</v>
      </c>
      <c r="D67" s="1" t="s">
        <v>360</v>
      </c>
      <c r="E67" s="1">
        <v>1000.0</v>
      </c>
      <c r="F67" s="1" t="s">
        <v>366</v>
      </c>
      <c r="G67" s="1" t="s">
        <v>367</v>
      </c>
      <c r="H67" s="1" t="s">
        <v>368</v>
      </c>
      <c r="I67" s="1" t="s">
        <v>54</v>
      </c>
      <c r="J67" s="1" t="s">
        <v>32</v>
      </c>
      <c r="K67" s="1" t="s">
        <v>32</v>
      </c>
      <c r="L67" s="1" t="s">
        <v>55</v>
      </c>
      <c r="M67" s="1" t="s">
        <v>55</v>
      </c>
      <c r="N67" s="3">
        <f t="shared" si="1"/>
        <v>20</v>
      </c>
      <c r="O67" s="3">
        <f t="shared" si="2"/>
        <v>15</v>
      </c>
      <c r="P67" s="3">
        <f t="shared" si="12"/>
        <v>10</v>
      </c>
      <c r="Q67" s="3">
        <f t="shared" si="3"/>
        <v>0</v>
      </c>
      <c r="R67" s="3">
        <f t="shared" si="4"/>
        <v>0</v>
      </c>
      <c r="S67" s="3">
        <f t="shared" si="5"/>
        <v>15</v>
      </c>
      <c r="T67" s="3">
        <f t="shared" si="6"/>
        <v>10</v>
      </c>
      <c r="U67" s="3">
        <f t="shared" si="7"/>
        <v>0</v>
      </c>
      <c r="V67" s="3">
        <f t="shared" si="8"/>
        <v>0</v>
      </c>
      <c r="W67" s="3">
        <f t="shared" si="9"/>
        <v>70</v>
      </c>
      <c r="X67" s="3" t="str">
        <f t="shared" si="10"/>
        <v> MEDIUM</v>
      </c>
      <c r="Y67" s="3" t="str">
        <f t="shared" si="11"/>
        <v>Expansion opportunity: company entering new markets</v>
      </c>
    </row>
    <row r="68">
      <c r="A68" s="1" t="s">
        <v>369</v>
      </c>
      <c r="B68" s="2" t="s">
        <v>370</v>
      </c>
      <c r="C68" s="1" t="s">
        <v>27</v>
      </c>
      <c r="D68" s="1" t="s">
        <v>264</v>
      </c>
      <c r="E68" s="1">
        <v>10000.0</v>
      </c>
      <c r="F68" s="1" t="s">
        <v>371</v>
      </c>
      <c r="G68" s="1" t="s">
        <v>372</v>
      </c>
      <c r="H68" s="1" t="s">
        <v>373</v>
      </c>
      <c r="I68" s="1" t="s">
        <v>54</v>
      </c>
      <c r="J68" s="1" t="s">
        <v>32</v>
      </c>
      <c r="K68" s="1" t="s">
        <v>32</v>
      </c>
      <c r="L68" s="1" t="s">
        <v>33</v>
      </c>
      <c r="M68" s="1" t="s">
        <v>55</v>
      </c>
      <c r="N68" s="3">
        <f t="shared" si="1"/>
        <v>20</v>
      </c>
      <c r="O68" s="3">
        <f t="shared" si="2"/>
        <v>15</v>
      </c>
      <c r="P68" s="3">
        <f t="shared" si="12"/>
        <v>10</v>
      </c>
      <c r="Q68" s="3">
        <f t="shared" si="3"/>
        <v>0</v>
      </c>
      <c r="R68" s="3">
        <f t="shared" si="4"/>
        <v>0</v>
      </c>
      <c r="S68" s="3">
        <f t="shared" si="5"/>
        <v>15</v>
      </c>
      <c r="T68" s="3">
        <f t="shared" si="6"/>
        <v>10</v>
      </c>
      <c r="U68" s="3">
        <f t="shared" si="7"/>
        <v>5</v>
      </c>
      <c r="V68" s="3">
        <f t="shared" si="8"/>
        <v>0</v>
      </c>
      <c r="W68" s="3">
        <f t="shared" si="9"/>
        <v>75</v>
      </c>
      <c r="X68" s="3" t="str">
        <f t="shared" si="10"/>
        <v> MEDIUM</v>
      </c>
      <c r="Y68" s="3" t="str">
        <f t="shared" si="11"/>
        <v>Expansion opportunity: company entering new markets</v>
      </c>
    </row>
    <row r="69">
      <c r="A69" s="1" t="s">
        <v>374</v>
      </c>
      <c r="B69" s="2" t="s">
        <v>375</v>
      </c>
      <c r="C69" s="1" t="s">
        <v>149</v>
      </c>
      <c r="D69" s="1" t="s">
        <v>376</v>
      </c>
      <c r="E69" s="1">
        <v>2000.0</v>
      </c>
      <c r="F69" s="1" t="s">
        <v>377</v>
      </c>
      <c r="G69" s="1" t="s">
        <v>378</v>
      </c>
      <c r="H69" s="1" t="s">
        <v>379</v>
      </c>
      <c r="I69" s="1" t="s">
        <v>32</v>
      </c>
      <c r="J69" s="1" t="s">
        <v>32</v>
      </c>
      <c r="K69" s="1" t="s">
        <v>32</v>
      </c>
      <c r="L69" s="1" t="s">
        <v>33</v>
      </c>
      <c r="M69" s="1" t="s">
        <v>33</v>
      </c>
      <c r="N69" s="3">
        <f t="shared" si="1"/>
        <v>20</v>
      </c>
      <c r="O69" s="3">
        <f t="shared" si="2"/>
        <v>15</v>
      </c>
      <c r="P69" s="3">
        <f t="shared" si="12"/>
        <v>0</v>
      </c>
      <c r="Q69" s="3">
        <f t="shared" si="3"/>
        <v>0</v>
      </c>
      <c r="R69" s="3">
        <f t="shared" si="4"/>
        <v>10</v>
      </c>
      <c r="S69" s="3">
        <f t="shared" si="5"/>
        <v>15</v>
      </c>
      <c r="T69" s="3">
        <f t="shared" si="6"/>
        <v>10</v>
      </c>
      <c r="U69" s="3">
        <f t="shared" si="7"/>
        <v>5</v>
      </c>
      <c r="V69" s="3">
        <f t="shared" si="8"/>
        <v>0</v>
      </c>
      <c r="W69" s="3">
        <f t="shared" si="9"/>
        <v>75</v>
      </c>
      <c r="X69" s="3" t="str">
        <f t="shared" si="10"/>
        <v> MEDIUM</v>
      </c>
      <c r="Y69" s="3" t="str">
        <f t="shared" si="11"/>
        <v>High growth signal: recent funding and active sales hiring</v>
      </c>
    </row>
    <row r="70">
      <c r="A70" s="1" t="s">
        <v>380</v>
      </c>
      <c r="B70" s="2" t="s">
        <v>381</v>
      </c>
      <c r="C70" s="1" t="s">
        <v>68</v>
      </c>
      <c r="D70" s="1" t="s">
        <v>376</v>
      </c>
      <c r="E70" s="1">
        <v>1000.0</v>
      </c>
      <c r="F70" s="1" t="s">
        <v>382</v>
      </c>
      <c r="G70" s="1" t="s">
        <v>383</v>
      </c>
      <c r="H70" s="1" t="s">
        <v>384</v>
      </c>
      <c r="I70" s="1" t="s">
        <v>54</v>
      </c>
      <c r="J70" s="1" t="s">
        <v>32</v>
      </c>
      <c r="K70" s="1" t="s">
        <v>32</v>
      </c>
      <c r="L70" s="1" t="s">
        <v>33</v>
      </c>
      <c r="M70" s="1" t="s">
        <v>33</v>
      </c>
      <c r="N70" s="3">
        <f t="shared" si="1"/>
        <v>20</v>
      </c>
      <c r="O70" s="3">
        <f t="shared" si="2"/>
        <v>15</v>
      </c>
      <c r="P70" s="3">
        <f t="shared" si="12"/>
        <v>0</v>
      </c>
      <c r="Q70" s="3">
        <f t="shared" si="3"/>
        <v>0</v>
      </c>
      <c r="R70" s="3">
        <f t="shared" si="4"/>
        <v>0</v>
      </c>
      <c r="S70" s="3">
        <f t="shared" si="5"/>
        <v>15</v>
      </c>
      <c r="T70" s="3">
        <f t="shared" si="6"/>
        <v>10</v>
      </c>
      <c r="U70" s="3">
        <f t="shared" si="7"/>
        <v>5</v>
      </c>
      <c r="V70" s="3">
        <f t="shared" si="8"/>
        <v>0</v>
      </c>
      <c r="W70" s="3">
        <f t="shared" si="9"/>
        <v>65</v>
      </c>
      <c r="X70" s="3" t="str">
        <f t="shared" si="10"/>
        <v> MEDIUM</v>
      </c>
      <c r="Y70" s="3" t="str">
        <f t="shared" si="11"/>
        <v>Expansion opportunity: company entering new markets</v>
      </c>
    </row>
    <row r="71">
      <c r="A71" s="1" t="s">
        <v>385</v>
      </c>
      <c r="B71" s="2" t="s">
        <v>386</v>
      </c>
      <c r="C71" s="1" t="s">
        <v>95</v>
      </c>
      <c r="D71" s="1" t="s">
        <v>387</v>
      </c>
      <c r="E71" s="1">
        <v>5000.0</v>
      </c>
      <c r="F71" s="1" t="s">
        <v>388</v>
      </c>
      <c r="G71" s="1" t="s">
        <v>59</v>
      </c>
      <c r="H71" s="1" t="s">
        <v>389</v>
      </c>
      <c r="I71" s="1" t="s">
        <v>32</v>
      </c>
      <c r="J71" s="1" t="s">
        <v>32</v>
      </c>
      <c r="K71" s="1" t="s">
        <v>32</v>
      </c>
      <c r="L71" s="1" t="s">
        <v>33</v>
      </c>
      <c r="M71" s="1" t="s">
        <v>33</v>
      </c>
      <c r="N71" s="3">
        <f t="shared" si="1"/>
        <v>20</v>
      </c>
      <c r="O71" s="3">
        <f t="shared" si="2"/>
        <v>15</v>
      </c>
      <c r="P71" s="3">
        <f t="shared" si="12"/>
        <v>0</v>
      </c>
      <c r="Q71" s="3">
        <f t="shared" si="3"/>
        <v>0</v>
      </c>
      <c r="R71" s="3">
        <f t="shared" si="4"/>
        <v>10</v>
      </c>
      <c r="S71" s="3">
        <f t="shared" si="5"/>
        <v>15</v>
      </c>
      <c r="T71" s="3">
        <f t="shared" si="6"/>
        <v>10</v>
      </c>
      <c r="U71" s="3">
        <f t="shared" si="7"/>
        <v>5</v>
      </c>
      <c r="V71" s="3">
        <f t="shared" si="8"/>
        <v>0</v>
      </c>
      <c r="W71" s="3">
        <f t="shared" si="9"/>
        <v>75</v>
      </c>
      <c r="X71" s="3" t="str">
        <f t="shared" si="10"/>
        <v> MEDIUM</v>
      </c>
      <c r="Y71" s="3" t="str">
        <f t="shared" si="11"/>
        <v>High growth signal: recent funding and active sales hiring</v>
      </c>
    </row>
    <row r="72">
      <c r="A72" s="1" t="s">
        <v>390</v>
      </c>
      <c r="B72" s="2" t="s">
        <v>391</v>
      </c>
      <c r="C72" s="1" t="s">
        <v>68</v>
      </c>
      <c r="D72" s="1" t="s">
        <v>392</v>
      </c>
      <c r="E72" s="1">
        <v>2000.0</v>
      </c>
      <c r="F72" s="1" t="s">
        <v>393</v>
      </c>
      <c r="G72" s="1" t="s">
        <v>394</v>
      </c>
      <c r="H72" s="1" t="s">
        <v>395</v>
      </c>
      <c r="I72" s="1" t="s">
        <v>54</v>
      </c>
      <c r="J72" s="1" t="s">
        <v>32</v>
      </c>
      <c r="K72" s="1" t="s">
        <v>32</v>
      </c>
      <c r="L72" s="1" t="s">
        <v>55</v>
      </c>
      <c r="M72" s="1" t="s">
        <v>55</v>
      </c>
      <c r="N72" s="3">
        <f t="shared" si="1"/>
        <v>20</v>
      </c>
      <c r="O72" s="3">
        <f t="shared" si="2"/>
        <v>15</v>
      </c>
      <c r="P72" s="3">
        <f t="shared" si="12"/>
        <v>0</v>
      </c>
      <c r="Q72" s="3">
        <f t="shared" si="3"/>
        <v>0</v>
      </c>
      <c r="R72" s="3">
        <f t="shared" si="4"/>
        <v>0</v>
      </c>
      <c r="S72" s="3">
        <f t="shared" si="5"/>
        <v>15</v>
      </c>
      <c r="T72" s="3">
        <f t="shared" si="6"/>
        <v>10</v>
      </c>
      <c r="U72" s="3">
        <f t="shared" si="7"/>
        <v>0</v>
      </c>
      <c r="V72" s="3">
        <f t="shared" si="8"/>
        <v>0</v>
      </c>
      <c r="W72" s="3">
        <f t="shared" si="9"/>
        <v>60</v>
      </c>
      <c r="X72" s="3" t="str">
        <f t="shared" si="10"/>
        <v> MEDIUM</v>
      </c>
      <c r="Y72" s="3" t="str">
        <f t="shared" si="11"/>
        <v>Expansion opportunity: company entering new markets</v>
      </c>
    </row>
    <row r="73">
      <c r="A73" s="1" t="s">
        <v>396</v>
      </c>
      <c r="C73" s="1" t="s">
        <v>68</v>
      </c>
      <c r="D73" s="1" t="s">
        <v>397</v>
      </c>
      <c r="E73" s="1">
        <v>300.0</v>
      </c>
      <c r="F73" s="1" t="s">
        <v>398</v>
      </c>
      <c r="G73" s="1" t="s">
        <v>59</v>
      </c>
      <c r="H73" s="1" t="s">
        <v>399</v>
      </c>
      <c r="I73" s="1" t="s">
        <v>32</v>
      </c>
      <c r="J73" s="1" t="s">
        <v>32</v>
      </c>
      <c r="K73" s="1" t="s">
        <v>32</v>
      </c>
      <c r="L73" s="1" t="s">
        <v>33</v>
      </c>
      <c r="M73" s="1" t="s">
        <v>33</v>
      </c>
      <c r="N73" s="3">
        <f t="shared" si="1"/>
        <v>20</v>
      </c>
      <c r="O73" s="3">
        <f t="shared" si="2"/>
        <v>15</v>
      </c>
      <c r="P73" s="3">
        <f t="shared" si="12"/>
        <v>0</v>
      </c>
      <c r="Q73" s="3">
        <f t="shared" si="3"/>
        <v>0</v>
      </c>
      <c r="R73" s="3">
        <f t="shared" si="4"/>
        <v>10</v>
      </c>
      <c r="S73" s="3">
        <f t="shared" si="5"/>
        <v>15</v>
      </c>
      <c r="T73" s="3">
        <f t="shared" si="6"/>
        <v>10</v>
      </c>
      <c r="U73" s="3">
        <f t="shared" si="7"/>
        <v>5</v>
      </c>
      <c r="V73" s="3">
        <f t="shared" si="8"/>
        <v>0</v>
      </c>
      <c r="W73" s="3">
        <f t="shared" si="9"/>
        <v>75</v>
      </c>
      <c r="X73" s="3" t="str">
        <f t="shared" si="10"/>
        <v> MEDIUM</v>
      </c>
      <c r="Y73" s="3" t="str">
        <f t="shared" si="11"/>
        <v>High growth signal: recent funding and active sales hiring</v>
      </c>
    </row>
    <row r="74">
      <c r="A74" s="1" t="s">
        <v>400</v>
      </c>
      <c r="B74" s="2" t="s">
        <v>401</v>
      </c>
      <c r="C74" s="1" t="s">
        <v>68</v>
      </c>
      <c r="D74" s="1" t="s">
        <v>402</v>
      </c>
      <c r="E74" s="1">
        <v>700.0</v>
      </c>
      <c r="F74" s="1" t="s">
        <v>403</v>
      </c>
      <c r="G74" s="1" t="s">
        <v>404</v>
      </c>
      <c r="H74" s="1" t="s">
        <v>405</v>
      </c>
      <c r="I74" s="1" t="s">
        <v>32</v>
      </c>
      <c r="J74" s="1" t="s">
        <v>32</v>
      </c>
      <c r="K74" s="1" t="s">
        <v>32</v>
      </c>
      <c r="L74" s="1" t="s">
        <v>33</v>
      </c>
      <c r="M74" s="1" t="s">
        <v>33</v>
      </c>
      <c r="N74" s="3">
        <f t="shared" si="1"/>
        <v>20</v>
      </c>
      <c r="O74" s="3">
        <f t="shared" si="2"/>
        <v>15</v>
      </c>
      <c r="P74" s="3">
        <f t="shared" si="12"/>
        <v>0</v>
      </c>
      <c r="Q74" s="3">
        <f t="shared" si="3"/>
        <v>0</v>
      </c>
      <c r="R74" s="3">
        <f t="shared" si="4"/>
        <v>10</v>
      </c>
      <c r="S74" s="3">
        <f t="shared" si="5"/>
        <v>15</v>
      </c>
      <c r="T74" s="3">
        <f t="shared" si="6"/>
        <v>10</v>
      </c>
      <c r="U74" s="3">
        <f t="shared" si="7"/>
        <v>5</v>
      </c>
      <c r="V74" s="3">
        <f t="shared" si="8"/>
        <v>0</v>
      </c>
      <c r="W74" s="3">
        <f t="shared" si="9"/>
        <v>75</v>
      </c>
      <c r="X74" s="3" t="str">
        <f t="shared" si="10"/>
        <v> MEDIUM</v>
      </c>
      <c r="Y74" s="3" t="str">
        <f t="shared" si="11"/>
        <v>High growth signal: recent funding and active sales hiring</v>
      </c>
    </row>
    <row r="75">
      <c r="A75" s="1" t="s">
        <v>406</v>
      </c>
      <c r="B75" s="2" t="s">
        <v>407</v>
      </c>
      <c r="C75" s="1" t="s">
        <v>68</v>
      </c>
      <c r="D75" s="1" t="s">
        <v>402</v>
      </c>
      <c r="E75" s="1">
        <v>7000.0</v>
      </c>
      <c r="F75" s="1" t="s">
        <v>408</v>
      </c>
      <c r="G75" s="1" t="s">
        <v>30</v>
      </c>
      <c r="H75" s="1" t="s">
        <v>409</v>
      </c>
      <c r="I75" s="1" t="s">
        <v>54</v>
      </c>
      <c r="J75" s="1" t="s">
        <v>32</v>
      </c>
      <c r="K75" s="1" t="s">
        <v>32</v>
      </c>
      <c r="L75" s="1" t="s">
        <v>33</v>
      </c>
      <c r="M75" s="1" t="s">
        <v>33</v>
      </c>
      <c r="N75" s="3">
        <f t="shared" si="1"/>
        <v>20</v>
      </c>
      <c r="O75" s="3">
        <f t="shared" si="2"/>
        <v>15</v>
      </c>
      <c r="P75" s="3">
        <f t="shared" si="12"/>
        <v>0</v>
      </c>
      <c r="Q75" s="3">
        <f t="shared" si="3"/>
        <v>0</v>
      </c>
      <c r="R75" s="3">
        <f t="shared" si="4"/>
        <v>0</v>
      </c>
      <c r="S75" s="3">
        <f t="shared" si="5"/>
        <v>15</v>
      </c>
      <c r="T75" s="3">
        <f t="shared" si="6"/>
        <v>10</v>
      </c>
      <c r="U75" s="3">
        <f t="shared" si="7"/>
        <v>5</v>
      </c>
      <c r="V75" s="3">
        <f t="shared" si="8"/>
        <v>5</v>
      </c>
      <c r="W75" s="3">
        <f t="shared" si="9"/>
        <v>70</v>
      </c>
      <c r="X75" s="3" t="str">
        <f t="shared" si="10"/>
        <v> MEDIUM</v>
      </c>
      <c r="Y75" s="3" t="str">
        <f t="shared" si="11"/>
        <v>Expansion opportunity: company entering new markets</v>
      </c>
    </row>
    <row r="76">
      <c r="A76" s="1" t="s">
        <v>410</v>
      </c>
      <c r="B76" s="5" t="s">
        <v>411</v>
      </c>
      <c r="C76" s="1" t="s">
        <v>68</v>
      </c>
      <c r="D76" s="1" t="s">
        <v>412</v>
      </c>
      <c r="E76" s="1">
        <v>5000.0</v>
      </c>
      <c r="F76" s="1" t="s">
        <v>413</v>
      </c>
      <c r="G76" s="1" t="s">
        <v>414</v>
      </c>
      <c r="H76" s="1" t="s">
        <v>415</v>
      </c>
      <c r="I76" s="1" t="s">
        <v>54</v>
      </c>
      <c r="J76" s="1" t="s">
        <v>32</v>
      </c>
      <c r="K76" s="1" t="s">
        <v>32</v>
      </c>
      <c r="L76" s="1" t="s">
        <v>55</v>
      </c>
      <c r="M76" s="1" t="s">
        <v>55</v>
      </c>
      <c r="N76" s="3">
        <f t="shared" si="1"/>
        <v>20</v>
      </c>
      <c r="O76" s="3">
        <f t="shared" si="2"/>
        <v>15</v>
      </c>
      <c r="P76" s="3">
        <f t="shared" si="12"/>
        <v>0</v>
      </c>
      <c r="Q76" s="3">
        <f t="shared" si="3"/>
        <v>0</v>
      </c>
      <c r="R76" s="3">
        <f t="shared" si="4"/>
        <v>0</v>
      </c>
      <c r="S76" s="3">
        <f t="shared" si="5"/>
        <v>15</v>
      </c>
      <c r="T76" s="3">
        <f t="shared" si="6"/>
        <v>10</v>
      </c>
      <c r="U76" s="3">
        <f t="shared" si="7"/>
        <v>0</v>
      </c>
      <c r="V76" s="3">
        <f t="shared" si="8"/>
        <v>0</v>
      </c>
      <c r="W76" s="3">
        <f t="shared" si="9"/>
        <v>60</v>
      </c>
      <c r="X76" s="3" t="str">
        <f t="shared" si="10"/>
        <v> MEDIUM</v>
      </c>
      <c r="Y76" s="3" t="str">
        <f t="shared" si="11"/>
        <v>Expansion opportunity: company entering new markets</v>
      </c>
    </row>
    <row r="77">
      <c r="A77" s="1" t="s">
        <v>416</v>
      </c>
      <c r="B77" s="5" t="s">
        <v>417</v>
      </c>
      <c r="C77" s="1" t="s">
        <v>68</v>
      </c>
      <c r="D77" s="1" t="s">
        <v>412</v>
      </c>
      <c r="E77" s="1">
        <v>4000.0</v>
      </c>
      <c r="F77" s="1" t="s">
        <v>418</v>
      </c>
      <c r="G77" s="1" t="s">
        <v>30</v>
      </c>
      <c r="H77" s="1" t="s">
        <v>419</v>
      </c>
      <c r="I77" s="1" t="s">
        <v>54</v>
      </c>
      <c r="J77" s="1" t="s">
        <v>32</v>
      </c>
      <c r="K77" s="1" t="s">
        <v>32</v>
      </c>
      <c r="L77" s="1" t="s">
        <v>55</v>
      </c>
      <c r="M77" s="1" t="s">
        <v>55</v>
      </c>
      <c r="N77" s="3">
        <f t="shared" si="1"/>
        <v>20</v>
      </c>
      <c r="O77" s="3">
        <f t="shared" si="2"/>
        <v>15</v>
      </c>
      <c r="P77" s="3">
        <f t="shared" si="12"/>
        <v>0</v>
      </c>
      <c r="Q77" s="3">
        <f t="shared" si="3"/>
        <v>0</v>
      </c>
      <c r="R77" s="3">
        <f t="shared" si="4"/>
        <v>0</v>
      </c>
      <c r="S77" s="3">
        <f t="shared" si="5"/>
        <v>15</v>
      </c>
      <c r="T77" s="3">
        <f t="shared" si="6"/>
        <v>10</v>
      </c>
      <c r="U77" s="3">
        <f t="shared" si="7"/>
        <v>0</v>
      </c>
      <c r="V77" s="3">
        <f t="shared" si="8"/>
        <v>5</v>
      </c>
      <c r="W77" s="3">
        <f t="shared" si="9"/>
        <v>65</v>
      </c>
      <c r="X77" s="3" t="str">
        <f t="shared" si="10"/>
        <v> MEDIUM</v>
      </c>
      <c r="Y77" s="3" t="str">
        <f t="shared" si="11"/>
        <v>Expansion opportunity: company entering new markets</v>
      </c>
    </row>
    <row r="78">
      <c r="A78" s="1" t="s">
        <v>420</v>
      </c>
      <c r="B78" s="2" t="s">
        <v>421</v>
      </c>
      <c r="C78" s="1" t="s">
        <v>68</v>
      </c>
      <c r="D78" s="1" t="s">
        <v>107</v>
      </c>
      <c r="E78" s="1">
        <v>6000.0</v>
      </c>
      <c r="F78" s="1" t="s">
        <v>422</v>
      </c>
      <c r="G78" s="1" t="s">
        <v>59</v>
      </c>
      <c r="H78" s="1" t="s">
        <v>423</v>
      </c>
      <c r="I78" s="1" t="s">
        <v>54</v>
      </c>
      <c r="J78" s="1" t="s">
        <v>32</v>
      </c>
      <c r="K78" s="1" t="s">
        <v>32</v>
      </c>
      <c r="L78" s="1" t="s">
        <v>33</v>
      </c>
      <c r="M78" s="1" t="s">
        <v>33</v>
      </c>
      <c r="N78" s="3">
        <f t="shared" si="1"/>
        <v>0</v>
      </c>
      <c r="O78" s="3">
        <f t="shared" si="2"/>
        <v>15</v>
      </c>
      <c r="P78" s="3">
        <f t="shared" si="12"/>
        <v>0</v>
      </c>
      <c r="Q78" s="3">
        <f>IF(OR(ISNUMBER(SEARCH("VP Sales",G79)),ISNUMBER(SEARCH("Head of Revenue",K78))),10,0)</f>
        <v>0</v>
      </c>
      <c r="R78" s="3">
        <f t="shared" si="4"/>
        <v>0</v>
      </c>
      <c r="S78" s="3">
        <f t="shared" si="5"/>
        <v>15</v>
      </c>
      <c r="T78" s="3">
        <f t="shared" si="6"/>
        <v>10</v>
      </c>
      <c r="U78" s="3">
        <f t="shared" si="7"/>
        <v>5</v>
      </c>
      <c r="V78" s="3">
        <f t="shared" si="8"/>
        <v>0</v>
      </c>
      <c r="W78" s="3">
        <f t="shared" si="9"/>
        <v>45</v>
      </c>
      <c r="X78" s="3" t="str">
        <f t="shared" si="10"/>
        <v> LOW</v>
      </c>
      <c r="Y78" s="3" t="str">
        <f t="shared" si="11"/>
        <v>Expansion opportunity: company entering new markets</v>
      </c>
    </row>
    <row r="79">
      <c r="A79" s="1" t="s">
        <v>424</v>
      </c>
      <c r="B79" s="5" t="s">
        <v>425</v>
      </c>
      <c r="C79" s="1" t="s">
        <v>68</v>
      </c>
      <c r="D79" s="1" t="s">
        <v>426</v>
      </c>
      <c r="E79" s="1">
        <v>8000.0</v>
      </c>
      <c r="F79" s="1" t="s">
        <v>427</v>
      </c>
      <c r="G79" s="1" t="s">
        <v>428</v>
      </c>
      <c r="H79" s="1" t="s">
        <v>429</v>
      </c>
      <c r="I79" s="1" t="s">
        <v>54</v>
      </c>
      <c r="J79" s="1" t="s">
        <v>32</v>
      </c>
      <c r="K79" s="1" t="s">
        <v>32</v>
      </c>
      <c r="L79" s="1" t="s">
        <v>33</v>
      </c>
      <c r="M79" s="1" t="s">
        <v>55</v>
      </c>
      <c r="N79" s="3">
        <f t="shared" si="1"/>
        <v>20</v>
      </c>
      <c r="O79" s="3">
        <f t="shared" si="2"/>
        <v>15</v>
      </c>
      <c r="P79" s="3">
        <f t="shared" si="12"/>
        <v>0</v>
      </c>
      <c r="Q79" s="3">
        <f>IF(OR(ISNUMBER(SEARCH("VP Sales",#REF!)),ISNUMBER(SEARCH("Head of Revenue",K79))),10,0)</f>
        <v>0</v>
      </c>
      <c r="R79" s="3">
        <f t="shared" si="4"/>
        <v>0</v>
      </c>
      <c r="S79" s="3">
        <f t="shared" si="5"/>
        <v>15</v>
      </c>
      <c r="T79" s="3">
        <f t="shared" si="6"/>
        <v>10</v>
      </c>
      <c r="U79" s="3">
        <f t="shared" si="7"/>
        <v>5</v>
      </c>
      <c r="V79" s="3">
        <f t="shared" si="8"/>
        <v>0</v>
      </c>
      <c r="W79" s="3">
        <f t="shared" si="9"/>
        <v>65</v>
      </c>
      <c r="X79" s="3" t="str">
        <f t="shared" si="10"/>
        <v> MEDIUM</v>
      </c>
      <c r="Y79" s="3" t="str">
        <f t="shared" si="11"/>
        <v>Expansion opportunity: company entering new markets</v>
      </c>
    </row>
    <row r="80">
      <c r="A80" s="1" t="s">
        <v>430</v>
      </c>
      <c r="B80" s="2" t="s">
        <v>431</v>
      </c>
      <c r="C80" s="1" t="s">
        <v>432</v>
      </c>
      <c r="D80" s="1" t="s">
        <v>433</v>
      </c>
      <c r="E80" s="1">
        <v>500.0</v>
      </c>
      <c r="F80" s="1" t="s">
        <v>434</v>
      </c>
      <c r="G80" s="1" t="s">
        <v>335</v>
      </c>
      <c r="H80" s="1" t="s">
        <v>435</v>
      </c>
      <c r="I80" s="1" t="s">
        <v>32</v>
      </c>
      <c r="J80" s="1" t="s">
        <v>32</v>
      </c>
      <c r="K80" s="1" t="s">
        <v>32</v>
      </c>
      <c r="L80" s="1" t="s">
        <v>55</v>
      </c>
      <c r="M80" s="1" t="s">
        <v>33</v>
      </c>
      <c r="N80" s="3">
        <f t="shared" si="1"/>
        <v>20</v>
      </c>
      <c r="O80" s="3">
        <f t="shared" si="2"/>
        <v>15</v>
      </c>
      <c r="P80" s="3">
        <f t="shared" si="12"/>
        <v>0</v>
      </c>
      <c r="Q80" s="3">
        <f t="shared" ref="Q80:Q89" si="13">IF(OR(ISNUMBER(SEARCH("VP Sales",G80)),ISNUMBER(SEARCH("Head of Revenue",K80))),10,0)</f>
        <v>10</v>
      </c>
      <c r="R80" s="3">
        <f t="shared" si="4"/>
        <v>10</v>
      </c>
      <c r="S80" s="3">
        <f t="shared" si="5"/>
        <v>15</v>
      </c>
      <c r="T80" s="3">
        <f t="shared" si="6"/>
        <v>10</v>
      </c>
      <c r="U80" s="3">
        <f t="shared" si="7"/>
        <v>0</v>
      </c>
      <c r="V80" s="3">
        <f t="shared" si="8"/>
        <v>5</v>
      </c>
      <c r="W80" s="3">
        <f t="shared" si="9"/>
        <v>85</v>
      </c>
      <c r="X80" s="3" t="str">
        <f t="shared" si="10"/>
        <v>🔥 HIGH</v>
      </c>
      <c r="Y80" s="3" t="str">
        <f t="shared" si="11"/>
        <v>High growth signal: recent funding and active sales hiring</v>
      </c>
    </row>
    <row r="81">
      <c r="A81" s="1" t="s">
        <v>436</v>
      </c>
      <c r="B81" s="2" t="s">
        <v>437</v>
      </c>
      <c r="C81" s="1" t="s">
        <v>68</v>
      </c>
      <c r="D81" s="1" t="s">
        <v>438</v>
      </c>
      <c r="E81" s="1">
        <v>1000.0</v>
      </c>
      <c r="F81" s="1" t="s">
        <v>439</v>
      </c>
      <c r="G81" s="1" t="s">
        <v>335</v>
      </c>
      <c r="H81" s="1" t="s">
        <v>440</v>
      </c>
      <c r="I81" s="1" t="s">
        <v>54</v>
      </c>
      <c r="J81" s="1" t="s">
        <v>32</v>
      </c>
      <c r="K81" s="1" t="s">
        <v>32</v>
      </c>
      <c r="L81" s="1" t="s">
        <v>33</v>
      </c>
      <c r="M81" s="1" t="s">
        <v>33</v>
      </c>
      <c r="N81" s="3">
        <f t="shared" si="1"/>
        <v>20</v>
      </c>
      <c r="O81" s="3">
        <f t="shared" si="2"/>
        <v>15</v>
      </c>
      <c r="P81" s="3">
        <f t="shared" si="12"/>
        <v>0</v>
      </c>
      <c r="Q81" s="3">
        <f t="shared" si="13"/>
        <v>10</v>
      </c>
      <c r="R81" s="3">
        <f t="shared" si="4"/>
        <v>0</v>
      </c>
      <c r="S81" s="3">
        <f t="shared" si="5"/>
        <v>15</v>
      </c>
      <c r="T81" s="3">
        <f t="shared" si="6"/>
        <v>10</v>
      </c>
      <c r="U81" s="3">
        <f t="shared" si="7"/>
        <v>5</v>
      </c>
      <c r="V81" s="3">
        <f t="shared" si="8"/>
        <v>5</v>
      </c>
      <c r="W81" s="3">
        <f t="shared" si="9"/>
        <v>80</v>
      </c>
      <c r="X81" s="3" t="str">
        <f t="shared" si="10"/>
        <v>🔥 HIGH</v>
      </c>
      <c r="Y81" s="3" t="str">
        <f t="shared" si="11"/>
        <v>Expansion opportunity: company entering new markets</v>
      </c>
    </row>
    <row r="82">
      <c r="A82" s="1" t="s">
        <v>441</v>
      </c>
      <c r="B82" s="5" t="s">
        <v>442</v>
      </c>
      <c r="C82" s="1" t="s">
        <v>443</v>
      </c>
      <c r="D82" s="1" t="s">
        <v>444</v>
      </c>
      <c r="E82" s="1">
        <v>500.0</v>
      </c>
      <c r="F82" s="1" t="s">
        <v>445</v>
      </c>
      <c r="G82" s="4" t="s">
        <v>446</v>
      </c>
      <c r="H82" s="1" t="s">
        <v>447</v>
      </c>
      <c r="I82" s="1" t="s">
        <v>54</v>
      </c>
      <c r="J82" s="1" t="s">
        <v>32</v>
      </c>
      <c r="K82" s="1" t="s">
        <v>32</v>
      </c>
      <c r="L82" s="1" t="s">
        <v>33</v>
      </c>
      <c r="M82" s="1" t="s">
        <v>33</v>
      </c>
      <c r="N82" s="3">
        <f t="shared" si="1"/>
        <v>20</v>
      </c>
      <c r="O82" s="3">
        <f t="shared" si="2"/>
        <v>15</v>
      </c>
      <c r="P82" s="3">
        <f t="shared" si="12"/>
        <v>0</v>
      </c>
      <c r="Q82" s="3">
        <f t="shared" si="13"/>
        <v>0</v>
      </c>
      <c r="R82" s="3">
        <f t="shared" si="4"/>
        <v>0</v>
      </c>
      <c r="S82" s="3">
        <f t="shared" si="5"/>
        <v>15</v>
      </c>
      <c r="T82" s="3">
        <f t="shared" si="6"/>
        <v>10</v>
      </c>
      <c r="U82" s="3">
        <f t="shared" si="7"/>
        <v>5</v>
      </c>
      <c r="V82" s="3">
        <f t="shared" si="8"/>
        <v>0</v>
      </c>
      <c r="W82" s="3">
        <f t="shared" si="9"/>
        <v>65</v>
      </c>
      <c r="X82" s="3" t="str">
        <f t="shared" si="10"/>
        <v> MEDIUM</v>
      </c>
      <c r="Y82" s="3" t="str">
        <f t="shared" si="11"/>
        <v>Expansion opportunity: company entering new markets</v>
      </c>
    </row>
    <row r="83">
      <c r="A83" s="1" t="s">
        <v>448</v>
      </c>
      <c r="B83" s="5" t="s">
        <v>449</v>
      </c>
      <c r="C83" s="1" t="s">
        <v>450</v>
      </c>
      <c r="D83" s="1" t="s">
        <v>438</v>
      </c>
      <c r="E83" s="1">
        <v>300.0</v>
      </c>
      <c r="F83" s="1" t="s">
        <v>451</v>
      </c>
      <c r="G83" s="1" t="s">
        <v>452</v>
      </c>
      <c r="H83" s="1" t="s">
        <v>453</v>
      </c>
      <c r="I83" s="1" t="s">
        <v>32</v>
      </c>
      <c r="J83" s="1" t="s">
        <v>32</v>
      </c>
      <c r="K83" s="1" t="s">
        <v>32</v>
      </c>
      <c r="L83" s="1" t="s">
        <v>33</v>
      </c>
      <c r="M83" s="1" t="s">
        <v>33</v>
      </c>
      <c r="N83" s="3">
        <f t="shared" si="1"/>
        <v>20</v>
      </c>
      <c r="O83" s="3">
        <f t="shared" si="2"/>
        <v>15</v>
      </c>
      <c r="P83" s="3">
        <f t="shared" si="12"/>
        <v>10</v>
      </c>
      <c r="Q83" s="3">
        <f t="shared" si="13"/>
        <v>0</v>
      </c>
      <c r="R83" s="3">
        <f t="shared" si="4"/>
        <v>10</v>
      </c>
      <c r="S83" s="3">
        <f t="shared" si="5"/>
        <v>15</v>
      </c>
      <c r="T83" s="3">
        <f t="shared" si="6"/>
        <v>10</v>
      </c>
      <c r="U83" s="3">
        <f t="shared" si="7"/>
        <v>5</v>
      </c>
      <c r="V83" s="3">
        <f t="shared" si="8"/>
        <v>0</v>
      </c>
      <c r="W83" s="3">
        <f t="shared" si="9"/>
        <v>85</v>
      </c>
      <c r="X83" s="3" t="str">
        <f t="shared" si="10"/>
        <v>🔥 HIGH</v>
      </c>
      <c r="Y83" s="3" t="str">
        <f t="shared" si="11"/>
        <v>High growth signal: recent funding and active sales hiring</v>
      </c>
    </row>
    <row r="84">
      <c r="A84" s="1" t="s">
        <v>454</v>
      </c>
      <c r="B84" s="2" t="s">
        <v>455</v>
      </c>
      <c r="C84" s="1" t="s">
        <v>456</v>
      </c>
      <c r="D84" s="1" t="s">
        <v>457</v>
      </c>
      <c r="E84" s="1">
        <v>500.0</v>
      </c>
      <c r="F84" s="1" t="s">
        <v>458</v>
      </c>
      <c r="G84" s="1" t="s">
        <v>30</v>
      </c>
      <c r="H84" s="1" t="s">
        <v>459</v>
      </c>
      <c r="I84" s="1" t="s">
        <v>54</v>
      </c>
      <c r="J84" s="1" t="s">
        <v>32</v>
      </c>
      <c r="K84" s="1" t="s">
        <v>32</v>
      </c>
      <c r="L84" s="1" t="s">
        <v>33</v>
      </c>
      <c r="M84" s="1" t="s">
        <v>33</v>
      </c>
      <c r="N84" s="3">
        <f t="shared" si="1"/>
        <v>20</v>
      </c>
      <c r="O84" s="3">
        <f t="shared" si="2"/>
        <v>15</v>
      </c>
      <c r="P84" s="1">
        <v>10.0</v>
      </c>
      <c r="Q84" s="3">
        <f t="shared" si="13"/>
        <v>0</v>
      </c>
      <c r="R84" s="3">
        <f t="shared" si="4"/>
        <v>0</v>
      </c>
      <c r="S84" s="3">
        <f t="shared" si="5"/>
        <v>15</v>
      </c>
      <c r="T84" s="3">
        <f t="shared" si="6"/>
        <v>10</v>
      </c>
      <c r="U84" s="3">
        <f t="shared" si="7"/>
        <v>5</v>
      </c>
      <c r="V84" s="3">
        <f t="shared" si="8"/>
        <v>5</v>
      </c>
      <c r="W84" s="3">
        <f t="shared" si="9"/>
        <v>80</v>
      </c>
      <c r="X84" s="3" t="str">
        <f t="shared" si="10"/>
        <v>🔥 HIGH</v>
      </c>
      <c r="Y84" s="3" t="str">
        <f t="shared" si="11"/>
        <v>Expansion opportunity: company entering new markets</v>
      </c>
    </row>
    <row r="85">
      <c r="A85" s="1" t="s">
        <v>460</v>
      </c>
      <c r="B85" s="5" t="s">
        <v>461</v>
      </c>
      <c r="C85" s="1" t="s">
        <v>68</v>
      </c>
      <c r="D85" s="1" t="s">
        <v>457</v>
      </c>
      <c r="E85" s="1">
        <v>800.0</v>
      </c>
      <c r="F85" s="1" t="s">
        <v>462</v>
      </c>
      <c r="G85" s="1" t="s">
        <v>30</v>
      </c>
      <c r="H85" s="1" t="s">
        <v>463</v>
      </c>
      <c r="I85" s="1" t="s">
        <v>54</v>
      </c>
      <c r="J85" s="1" t="s">
        <v>32</v>
      </c>
      <c r="K85" s="1" t="s">
        <v>32</v>
      </c>
      <c r="L85" s="1" t="s">
        <v>55</v>
      </c>
      <c r="M85" s="1" t="s">
        <v>55</v>
      </c>
      <c r="N85" s="3">
        <f t="shared" si="1"/>
        <v>20</v>
      </c>
      <c r="O85" s="3">
        <f t="shared" si="2"/>
        <v>15</v>
      </c>
      <c r="P85" s="3">
        <f t="shared" ref="P85:P89" si="14">IF(OR(C85="France",C85="Germany",C85="Italy",C85="Spain",C85="Netherlands",C85="Belgium",C85="Sweden",C85="Denmark",C85="Norway",C85="Finland",C85="Austria",C85="Switzerland",C85="Portugal",C85="Ireland",C85="Poland"),10,0)</f>
        <v>0</v>
      </c>
      <c r="Q85" s="3">
        <f t="shared" si="13"/>
        <v>0</v>
      </c>
      <c r="R85" s="3">
        <f t="shared" si="4"/>
        <v>0</v>
      </c>
      <c r="S85" s="3">
        <f t="shared" si="5"/>
        <v>15</v>
      </c>
      <c r="T85" s="3">
        <f t="shared" si="6"/>
        <v>10</v>
      </c>
      <c r="U85" s="3">
        <f t="shared" si="7"/>
        <v>0</v>
      </c>
      <c r="V85" s="3">
        <f t="shared" si="8"/>
        <v>5</v>
      </c>
      <c r="W85" s="3">
        <f t="shared" si="9"/>
        <v>65</v>
      </c>
      <c r="X85" s="3" t="str">
        <f t="shared" si="10"/>
        <v> MEDIUM</v>
      </c>
      <c r="Y85" s="3" t="str">
        <f t="shared" si="11"/>
        <v>Expansion opportunity: company entering new markets</v>
      </c>
    </row>
    <row r="86">
      <c r="A86" s="1" t="s">
        <v>464</v>
      </c>
      <c r="B86" s="2" t="s">
        <v>465</v>
      </c>
      <c r="C86" s="1" t="s">
        <v>68</v>
      </c>
      <c r="D86" s="1" t="s">
        <v>466</v>
      </c>
      <c r="E86" s="1">
        <v>900.0</v>
      </c>
      <c r="F86" s="1" t="s">
        <v>467</v>
      </c>
      <c r="G86" s="1" t="s">
        <v>30</v>
      </c>
      <c r="H86" s="1" t="s">
        <v>468</v>
      </c>
      <c r="I86" s="1" t="s">
        <v>32</v>
      </c>
      <c r="J86" s="1" t="s">
        <v>32</v>
      </c>
      <c r="K86" s="1" t="s">
        <v>32</v>
      </c>
      <c r="L86" s="1" t="s">
        <v>33</v>
      </c>
      <c r="M86" s="1" t="s">
        <v>33</v>
      </c>
      <c r="N86" s="3">
        <f t="shared" si="1"/>
        <v>0</v>
      </c>
      <c r="O86" s="3">
        <f t="shared" si="2"/>
        <v>15</v>
      </c>
      <c r="P86" s="3">
        <f t="shared" si="14"/>
        <v>0</v>
      </c>
      <c r="Q86" s="3">
        <f t="shared" si="13"/>
        <v>0</v>
      </c>
      <c r="R86" s="3">
        <f t="shared" si="4"/>
        <v>10</v>
      </c>
      <c r="S86" s="3">
        <f t="shared" si="5"/>
        <v>15</v>
      </c>
      <c r="T86" s="3">
        <f t="shared" si="6"/>
        <v>10</v>
      </c>
      <c r="U86" s="3">
        <f t="shared" si="7"/>
        <v>5</v>
      </c>
      <c r="V86" s="3">
        <f t="shared" si="8"/>
        <v>5</v>
      </c>
      <c r="W86" s="3">
        <f t="shared" si="9"/>
        <v>60</v>
      </c>
      <c r="X86" s="3" t="str">
        <f t="shared" si="10"/>
        <v> MEDIUM</v>
      </c>
      <c r="Y86" s="3" t="str">
        <f t="shared" si="11"/>
        <v>High growth signal: recent funding and active sales hiring</v>
      </c>
    </row>
    <row r="87">
      <c r="A87" s="1" t="s">
        <v>469</v>
      </c>
      <c r="B87" s="2" t="s">
        <v>470</v>
      </c>
      <c r="C87" s="1" t="s">
        <v>68</v>
      </c>
      <c r="D87" s="1" t="s">
        <v>471</v>
      </c>
      <c r="E87" s="1">
        <v>2000.0</v>
      </c>
      <c r="F87" s="1" t="s">
        <v>472</v>
      </c>
      <c r="G87" s="1" t="s">
        <v>473</v>
      </c>
      <c r="H87" s="1" t="s">
        <v>474</v>
      </c>
      <c r="I87" s="1" t="s">
        <v>54</v>
      </c>
      <c r="J87" s="1" t="s">
        <v>32</v>
      </c>
      <c r="K87" s="1" t="s">
        <v>32</v>
      </c>
      <c r="L87" s="1" t="s">
        <v>33</v>
      </c>
      <c r="M87" s="1" t="s">
        <v>33</v>
      </c>
      <c r="N87" s="3">
        <f t="shared" si="1"/>
        <v>20</v>
      </c>
      <c r="O87" s="3">
        <f t="shared" si="2"/>
        <v>15</v>
      </c>
      <c r="P87" s="3">
        <f t="shared" si="14"/>
        <v>0</v>
      </c>
      <c r="Q87" s="3">
        <f t="shared" si="13"/>
        <v>0</v>
      </c>
      <c r="R87" s="3">
        <f t="shared" si="4"/>
        <v>0</v>
      </c>
      <c r="S87" s="3">
        <f t="shared" si="5"/>
        <v>15</v>
      </c>
      <c r="T87" s="3">
        <f t="shared" si="6"/>
        <v>10</v>
      </c>
      <c r="U87" s="3">
        <f t="shared" si="7"/>
        <v>5</v>
      </c>
      <c r="V87" s="3">
        <f t="shared" si="8"/>
        <v>0</v>
      </c>
      <c r="W87" s="3">
        <f t="shared" si="9"/>
        <v>65</v>
      </c>
      <c r="X87" s="3" t="str">
        <f t="shared" si="10"/>
        <v> MEDIUM</v>
      </c>
      <c r="Y87" s="3" t="str">
        <f t="shared" si="11"/>
        <v>Expansion opportunity: company entering new markets</v>
      </c>
    </row>
    <row r="88">
      <c r="A88" s="1" t="s">
        <v>475</v>
      </c>
      <c r="B88" s="2" t="s">
        <v>476</v>
      </c>
      <c r="C88" s="1" t="s">
        <v>477</v>
      </c>
      <c r="D88" s="1" t="s">
        <v>471</v>
      </c>
      <c r="E88" s="1">
        <v>5000.0</v>
      </c>
      <c r="F88" s="1" t="s">
        <v>478</v>
      </c>
      <c r="G88" s="1" t="s">
        <v>352</v>
      </c>
      <c r="H88" s="1" t="s">
        <v>479</v>
      </c>
      <c r="I88" s="1" t="s">
        <v>54</v>
      </c>
      <c r="J88" s="1" t="s">
        <v>32</v>
      </c>
      <c r="K88" s="1" t="s">
        <v>32</v>
      </c>
      <c r="L88" s="1" t="s">
        <v>33</v>
      </c>
      <c r="M88" s="1" t="s">
        <v>55</v>
      </c>
      <c r="N88" s="3">
        <f t="shared" si="1"/>
        <v>20</v>
      </c>
      <c r="O88" s="3">
        <f t="shared" si="2"/>
        <v>15</v>
      </c>
      <c r="P88" s="3">
        <f t="shared" si="14"/>
        <v>0</v>
      </c>
      <c r="Q88" s="3">
        <f t="shared" si="13"/>
        <v>10</v>
      </c>
      <c r="R88" s="3">
        <f t="shared" si="4"/>
        <v>0</v>
      </c>
      <c r="S88" s="3">
        <f t="shared" si="5"/>
        <v>15</v>
      </c>
      <c r="T88" s="3">
        <f t="shared" si="6"/>
        <v>10</v>
      </c>
      <c r="U88" s="3">
        <f t="shared" si="7"/>
        <v>5</v>
      </c>
      <c r="V88" s="3">
        <f t="shared" si="8"/>
        <v>0</v>
      </c>
      <c r="W88" s="3">
        <f t="shared" si="9"/>
        <v>75</v>
      </c>
      <c r="X88" s="3" t="str">
        <f t="shared" si="10"/>
        <v> MEDIUM</v>
      </c>
      <c r="Y88" s="3" t="str">
        <f t="shared" si="11"/>
        <v>Expansion opportunity: company entering new markets</v>
      </c>
    </row>
    <row r="89">
      <c r="A89" s="1" t="s">
        <v>480</v>
      </c>
      <c r="B89" s="2" t="s">
        <v>481</v>
      </c>
      <c r="C89" s="1" t="s">
        <v>477</v>
      </c>
      <c r="D89" s="1" t="s">
        <v>471</v>
      </c>
      <c r="E89" s="1">
        <v>10000.0</v>
      </c>
      <c r="F89" s="1" t="s">
        <v>482</v>
      </c>
      <c r="G89" s="1" t="s">
        <v>483</v>
      </c>
      <c r="H89" s="1" t="s">
        <v>484</v>
      </c>
      <c r="I89" s="1" t="s">
        <v>54</v>
      </c>
      <c r="J89" s="1" t="s">
        <v>32</v>
      </c>
      <c r="K89" s="1" t="s">
        <v>32</v>
      </c>
      <c r="L89" s="1" t="s">
        <v>33</v>
      </c>
      <c r="M89" s="1" t="s">
        <v>33</v>
      </c>
      <c r="N89" s="3">
        <f t="shared" si="1"/>
        <v>20</v>
      </c>
      <c r="O89" s="3">
        <f t="shared" si="2"/>
        <v>15</v>
      </c>
      <c r="P89" s="3">
        <f t="shared" si="14"/>
        <v>0</v>
      </c>
      <c r="Q89" s="3">
        <f t="shared" si="13"/>
        <v>0</v>
      </c>
      <c r="R89" s="3">
        <f t="shared" si="4"/>
        <v>0</v>
      </c>
      <c r="S89" s="3">
        <f t="shared" si="5"/>
        <v>15</v>
      </c>
      <c r="T89" s="3">
        <f t="shared" si="6"/>
        <v>10</v>
      </c>
      <c r="U89" s="3">
        <f t="shared" si="7"/>
        <v>5</v>
      </c>
      <c r="V89" s="3">
        <f t="shared" si="8"/>
        <v>0</v>
      </c>
      <c r="W89" s="3">
        <f t="shared" si="9"/>
        <v>65</v>
      </c>
      <c r="X89" s="3" t="str">
        <f t="shared" si="10"/>
        <v> MEDIUM</v>
      </c>
      <c r="Y89" s="3" t="str">
        <f t="shared" si="11"/>
        <v>Expansion opportunity: company entering new markets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H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2"/>
    <hyperlink r:id="rId80" ref="B83"/>
    <hyperlink r:id="rId81" ref="B84"/>
    <hyperlink r:id="rId82" ref="B85"/>
    <hyperlink r:id="rId83" ref="B86"/>
    <hyperlink r:id="rId84" ref="B87"/>
    <hyperlink r:id="rId85" ref="B88"/>
    <hyperlink r:id="rId86" ref="B89"/>
  </hyperlinks>
  <drawing r:id="rId8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2</v>
      </c>
      <c r="C1" s="6" t="s">
        <v>3</v>
      </c>
      <c r="D1" s="6" t="s">
        <v>4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5</v>
      </c>
      <c r="L1" s="6" t="s">
        <v>6</v>
      </c>
      <c r="M1" s="6" t="s">
        <v>1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25</v>
      </c>
      <c r="B2" s="1" t="s">
        <v>27</v>
      </c>
      <c r="C2" s="1" t="s">
        <v>28</v>
      </c>
      <c r="D2" s="1">
        <v>2000.0</v>
      </c>
      <c r="E2" s="1" t="s">
        <v>31</v>
      </c>
      <c r="F2" s="1" t="s">
        <v>32</v>
      </c>
      <c r="G2" s="1" t="s">
        <v>32</v>
      </c>
      <c r="H2" s="1" t="s">
        <v>32</v>
      </c>
      <c r="I2" s="1" t="s">
        <v>33</v>
      </c>
      <c r="J2" s="1" t="s">
        <v>33</v>
      </c>
      <c r="K2" s="1" t="s">
        <v>485</v>
      </c>
      <c r="L2" s="1" t="s">
        <v>335</v>
      </c>
      <c r="M2" s="1" t="s">
        <v>486</v>
      </c>
    </row>
    <row r="3">
      <c r="A3" s="1" t="s">
        <v>34</v>
      </c>
      <c r="B3" s="1" t="s">
        <v>36</v>
      </c>
      <c r="C3" s="1" t="s">
        <v>37</v>
      </c>
      <c r="D3" s="1">
        <v>1500.0</v>
      </c>
      <c r="E3" s="1" t="s">
        <v>40</v>
      </c>
      <c r="F3" s="1" t="s">
        <v>32</v>
      </c>
      <c r="G3" s="1" t="s">
        <v>32</v>
      </c>
      <c r="H3" s="1" t="s">
        <v>32</v>
      </c>
      <c r="I3" s="1" t="s">
        <v>33</v>
      </c>
      <c r="J3" s="1" t="s">
        <v>33</v>
      </c>
      <c r="K3" s="1" t="s">
        <v>487</v>
      </c>
      <c r="L3" s="1" t="s">
        <v>30</v>
      </c>
      <c r="M3" s="1" t="s">
        <v>488</v>
      </c>
    </row>
    <row r="4">
      <c r="A4" s="1" t="s">
        <v>41</v>
      </c>
      <c r="B4" s="1" t="s">
        <v>43</v>
      </c>
      <c r="C4" s="1" t="s">
        <v>37</v>
      </c>
      <c r="D4" s="1">
        <v>900.0</v>
      </c>
      <c r="E4" s="1" t="s">
        <v>46</v>
      </c>
      <c r="F4" s="1" t="s">
        <v>32</v>
      </c>
      <c r="G4" s="1" t="s">
        <v>32</v>
      </c>
      <c r="H4" s="1" t="s">
        <v>32</v>
      </c>
      <c r="I4" s="1" t="s">
        <v>33</v>
      </c>
      <c r="J4" s="1" t="s">
        <v>33</v>
      </c>
      <c r="K4" s="1" t="s">
        <v>489</v>
      </c>
      <c r="L4" s="1" t="s">
        <v>206</v>
      </c>
      <c r="M4" s="1" t="s">
        <v>490</v>
      </c>
    </row>
    <row r="5">
      <c r="A5" s="1" t="s">
        <v>47</v>
      </c>
      <c r="B5" s="1" t="s">
        <v>49</v>
      </c>
      <c r="C5" s="1" t="s">
        <v>50</v>
      </c>
      <c r="D5" s="1">
        <v>800.0</v>
      </c>
      <c r="E5" s="1" t="s">
        <v>53</v>
      </c>
      <c r="F5" s="1" t="s">
        <v>54</v>
      </c>
      <c r="G5" s="1" t="s">
        <v>32</v>
      </c>
      <c r="H5" s="1" t="s">
        <v>32</v>
      </c>
      <c r="I5" s="1" t="s">
        <v>33</v>
      </c>
      <c r="J5" s="1" t="s">
        <v>55</v>
      </c>
      <c r="K5" s="1" t="s">
        <v>491</v>
      </c>
      <c r="L5" s="1" t="s">
        <v>335</v>
      </c>
      <c r="M5" s="1" t="s">
        <v>492</v>
      </c>
    </row>
    <row r="6">
      <c r="A6" s="1" t="s">
        <v>56</v>
      </c>
      <c r="B6" s="1" t="s">
        <v>49</v>
      </c>
      <c r="C6" s="1" t="s">
        <v>50</v>
      </c>
      <c r="D6" s="1">
        <v>6000.0</v>
      </c>
      <c r="E6" s="1" t="s">
        <v>60</v>
      </c>
      <c r="F6" s="1" t="s">
        <v>54</v>
      </c>
      <c r="G6" s="1" t="s">
        <v>32</v>
      </c>
      <c r="H6" s="1" t="s">
        <v>32</v>
      </c>
      <c r="I6" s="1" t="s">
        <v>33</v>
      </c>
      <c r="J6" s="1" t="s">
        <v>33</v>
      </c>
      <c r="K6" s="1" t="s">
        <v>493</v>
      </c>
      <c r="L6" s="1" t="s">
        <v>30</v>
      </c>
      <c r="M6" s="1" t="s">
        <v>494</v>
      </c>
    </row>
    <row r="7">
      <c r="A7" s="1" t="s">
        <v>61</v>
      </c>
      <c r="B7" s="1" t="s">
        <v>27</v>
      </c>
      <c r="C7" s="1" t="s">
        <v>37</v>
      </c>
      <c r="D7" s="1">
        <v>1500.0</v>
      </c>
      <c r="E7" s="1" t="s">
        <v>65</v>
      </c>
      <c r="F7" s="1" t="s">
        <v>32</v>
      </c>
      <c r="G7" s="1" t="s">
        <v>32</v>
      </c>
      <c r="H7" s="1" t="s">
        <v>32</v>
      </c>
      <c r="I7" s="1" t="s">
        <v>33</v>
      </c>
      <c r="J7" s="1" t="s">
        <v>33</v>
      </c>
      <c r="K7" s="1" t="s">
        <v>495</v>
      </c>
      <c r="L7" s="1" t="s">
        <v>176</v>
      </c>
      <c r="M7" s="1" t="s">
        <v>496</v>
      </c>
    </row>
    <row r="8">
      <c r="A8" s="1" t="s">
        <v>66</v>
      </c>
      <c r="B8" s="1" t="s">
        <v>68</v>
      </c>
      <c r="C8" s="1" t="s">
        <v>37</v>
      </c>
      <c r="D8" s="1">
        <v>8000.0</v>
      </c>
      <c r="E8" s="1" t="s">
        <v>70</v>
      </c>
      <c r="F8" s="1" t="s">
        <v>32</v>
      </c>
      <c r="G8" s="1" t="s">
        <v>32</v>
      </c>
      <c r="H8" s="1" t="s">
        <v>32</v>
      </c>
      <c r="I8" s="1" t="s">
        <v>33</v>
      </c>
      <c r="J8" s="1" t="s">
        <v>33</v>
      </c>
      <c r="K8" s="1" t="s">
        <v>497</v>
      </c>
      <c r="L8" s="1" t="s">
        <v>30</v>
      </c>
      <c r="M8" s="1" t="s">
        <v>498</v>
      </c>
    </row>
    <row r="9">
      <c r="A9" s="1" t="s">
        <v>71</v>
      </c>
      <c r="B9" s="1" t="s">
        <v>36</v>
      </c>
      <c r="C9" s="1" t="s">
        <v>73</v>
      </c>
      <c r="D9" s="1">
        <v>800.0</v>
      </c>
      <c r="E9" s="1" t="s">
        <v>76</v>
      </c>
      <c r="F9" s="1" t="s">
        <v>32</v>
      </c>
      <c r="G9" s="1" t="s">
        <v>32</v>
      </c>
      <c r="H9" s="1" t="s">
        <v>32</v>
      </c>
      <c r="I9" s="1" t="s">
        <v>33</v>
      </c>
      <c r="J9" s="1" t="s">
        <v>33</v>
      </c>
      <c r="K9" s="1" t="s">
        <v>499</v>
      </c>
      <c r="L9" s="1" t="s">
        <v>335</v>
      </c>
      <c r="M9" s="1" t="s">
        <v>500</v>
      </c>
    </row>
    <row r="10">
      <c r="A10" s="1" t="s">
        <v>77</v>
      </c>
      <c r="B10" s="1" t="s">
        <v>68</v>
      </c>
      <c r="C10" s="1" t="s">
        <v>79</v>
      </c>
      <c r="D10" s="1">
        <v>700.0</v>
      </c>
      <c r="E10" s="1" t="s">
        <v>82</v>
      </c>
      <c r="F10" s="1" t="s">
        <v>32</v>
      </c>
      <c r="G10" s="1" t="s">
        <v>32</v>
      </c>
      <c r="H10" s="1" t="s">
        <v>32</v>
      </c>
      <c r="I10" s="1" t="s">
        <v>33</v>
      </c>
      <c r="J10" s="1" t="s">
        <v>33</v>
      </c>
      <c r="K10" s="1" t="s">
        <v>501</v>
      </c>
      <c r="L10" s="1" t="s">
        <v>206</v>
      </c>
      <c r="M10" s="1" t="s">
        <v>502</v>
      </c>
    </row>
    <row r="11">
      <c r="A11" s="1" t="s">
        <v>83</v>
      </c>
      <c r="B11" s="1" t="s">
        <v>27</v>
      </c>
      <c r="C11" s="1" t="s">
        <v>79</v>
      </c>
      <c r="D11" s="1">
        <v>400.0</v>
      </c>
      <c r="E11" s="1" t="s">
        <v>86</v>
      </c>
      <c r="F11" s="1" t="s">
        <v>32</v>
      </c>
      <c r="G11" s="1" t="s">
        <v>32</v>
      </c>
      <c r="H11" s="1" t="s">
        <v>32</v>
      </c>
      <c r="I11" s="1" t="s">
        <v>33</v>
      </c>
      <c r="J11" s="1" t="s">
        <v>33</v>
      </c>
      <c r="K11" s="1" t="s">
        <v>503</v>
      </c>
      <c r="L11" s="1" t="s">
        <v>335</v>
      </c>
      <c r="M11" s="1" t="s">
        <v>504</v>
      </c>
    </row>
    <row r="12">
      <c r="A12" s="1" t="s">
        <v>87</v>
      </c>
      <c r="B12" s="1" t="s">
        <v>89</v>
      </c>
      <c r="C12" s="1" t="s">
        <v>79</v>
      </c>
      <c r="D12" s="1">
        <v>600.0</v>
      </c>
      <c r="E12" s="1" t="s">
        <v>92</v>
      </c>
      <c r="F12" s="1" t="s">
        <v>32</v>
      </c>
      <c r="G12" s="1" t="s">
        <v>32</v>
      </c>
      <c r="H12" s="1" t="s">
        <v>32</v>
      </c>
      <c r="I12" s="1" t="s">
        <v>33</v>
      </c>
      <c r="J12" s="1" t="s">
        <v>55</v>
      </c>
      <c r="K12" s="1" t="s">
        <v>505</v>
      </c>
      <c r="L12" s="1" t="s">
        <v>176</v>
      </c>
      <c r="M12" s="1" t="s">
        <v>506</v>
      </c>
    </row>
    <row r="13">
      <c r="A13" s="1" t="s">
        <v>93</v>
      </c>
      <c r="B13" s="1" t="s">
        <v>95</v>
      </c>
      <c r="C13" s="1" t="s">
        <v>96</v>
      </c>
      <c r="D13" s="1">
        <v>900.0</v>
      </c>
      <c r="E13" s="1" t="s">
        <v>98</v>
      </c>
      <c r="F13" s="1" t="s">
        <v>54</v>
      </c>
      <c r="G13" s="1" t="s">
        <v>32</v>
      </c>
      <c r="H13" s="1" t="s">
        <v>32</v>
      </c>
      <c r="I13" s="1" t="s">
        <v>33</v>
      </c>
      <c r="J13" s="1" t="s">
        <v>55</v>
      </c>
      <c r="K13" s="1" t="s">
        <v>507</v>
      </c>
      <c r="L13" s="1" t="s">
        <v>335</v>
      </c>
      <c r="M13" s="1" t="s">
        <v>508</v>
      </c>
    </row>
    <row r="14">
      <c r="A14" s="1" t="s">
        <v>99</v>
      </c>
      <c r="B14" s="1" t="s">
        <v>101</v>
      </c>
      <c r="C14" s="1" t="s">
        <v>96</v>
      </c>
      <c r="D14" s="1">
        <v>7000.0</v>
      </c>
      <c r="E14" s="1" t="s">
        <v>104</v>
      </c>
      <c r="F14" s="1" t="s">
        <v>54</v>
      </c>
      <c r="G14" s="1" t="s">
        <v>32</v>
      </c>
      <c r="H14" s="1" t="s">
        <v>32</v>
      </c>
      <c r="I14" s="1" t="s">
        <v>33</v>
      </c>
      <c r="J14" s="1" t="s">
        <v>33</v>
      </c>
      <c r="K14" s="1" t="s">
        <v>509</v>
      </c>
      <c r="L14" s="1" t="s">
        <v>30</v>
      </c>
      <c r="M14" s="1" t="s">
        <v>510</v>
      </c>
    </row>
    <row r="15">
      <c r="A15" s="1" t="s">
        <v>105</v>
      </c>
      <c r="B15" s="1" t="s">
        <v>49</v>
      </c>
      <c r="C15" s="1" t="s">
        <v>107</v>
      </c>
      <c r="D15" s="1">
        <v>2000.0</v>
      </c>
      <c r="E15" s="1" t="s">
        <v>109</v>
      </c>
      <c r="F15" s="1" t="s">
        <v>32</v>
      </c>
      <c r="G15" s="1" t="s">
        <v>32</v>
      </c>
      <c r="H15" s="1" t="s">
        <v>32</v>
      </c>
      <c r="I15" s="1" t="s">
        <v>33</v>
      </c>
      <c r="J15" s="1" t="s">
        <v>33</v>
      </c>
      <c r="K15" s="1" t="s">
        <v>511</v>
      </c>
      <c r="L15" s="1" t="s">
        <v>335</v>
      </c>
      <c r="M15" s="1" t="s">
        <v>512</v>
      </c>
    </row>
    <row r="16">
      <c r="A16" s="1" t="s">
        <v>110</v>
      </c>
      <c r="B16" s="1" t="s">
        <v>36</v>
      </c>
      <c r="C16" s="1" t="s">
        <v>112</v>
      </c>
      <c r="D16" s="1">
        <v>3000.0</v>
      </c>
      <c r="E16" s="1" t="s">
        <v>114</v>
      </c>
      <c r="F16" s="1" t="s">
        <v>32</v>
      </c>
      <c r="G16" s="1" t="s">
        <v>32</v>
      </c>
      <c r="H16" s="1" t="s">
        <v>32</v>
      </c>
      <c r="I16" s="1" t="s">
        <v>33</v>
      </c>
      <c r="J16" s="1" t="s">
        <v>33</v>
      </c>
      <c r="K16" s="1" t="s">
        <v>513</v>
      </c>
      <c r="L16" s="1" t="s">
        <v>30</v>
      </c>
      <c r="M16" s="1" t="s">
        <v>514</v>
      </c>
    </row>
    <row r="17">
      <c r="A17" s="1" t="s">
        <v>115</v>
      </c>
      <c r="B17" s="1" t="s">
        <v>68</v>
      </c>
      <c r="C17" s="1" t="s">
        <v>117</v>
      </c>
      <c r="D17" s="1">
        <v>4000.0</v>
      </c>
      <c r="E17" s="1" t="s">
        <v>119</v>
      </c>
      <c r="F17" s="1" t="s">
        <v>54</v>
      </c>
      <c r="G17" s="1" t="s">
        <v>32</v>
      </c>
      <c r="H17" s="1" t="s">
        <v>32</v>
      </c>
      <c r="I17" s="1" t="s">
        <v>33</v>
      </c>
      <c r="J17" s="1" t="s">
        <v>33</v>
      </c>
      <c r="K17" s="1" t="s">
        <v>515</v>
      </c>
      <c r="L17" s="1" t="s">
        <v>335</v>
      </c>
      <c r="M17" s="1" t="s">
        <v>516</v>
      </c>
    </row>
    <row r="18">
      <c r="A18" s="1" t="s">
        <v>120</v>
      </c>
      <c r="B18" s="1" t="s">
        <v>122</v>
      </c>
      <c r="C18" s="1" t="s">
        <v>123</v>
      </c>
      <c r="D18" s="1">
        <v>1500.0</v>
      </c>
      <c r="E18" s="1" t="s">
        <v>125</v>
      </c>
      <c r="F18" s="1" t="s">
        <v>54</v>
      </c>
      <c r="G18" s="1" t="s">
        <v>32</v>
      </c>
      <c r="H18" s="1" t="s">
        <v>32</v>
      </c>
      <c r="I18" s="1" t="s">
        <v>33</v>
      </c>
      <c r="J18" s="1" t="s">
        <v>33</v>
      </c>
      <c r="K18" s="1" t="s">
        <v>517</v>
      </c>
      <c r="L18" s="1" t="s">
        <v>206</v>
      </c>
      <c r="M18" s="1" t="s">
        <v>518</v>
      </c>
    </row>
    <row r="19">
      <c r="A19" s="1" t="s">
        <v>126</v>
      </c>
      <c r="B19" s="1" t="s">
        <v>68</v>
      </c>
      <c r="C19" s="1" t="s">
        <v>128</v>
      </c>
      <c r="D19" s="1">
        <v>1200.0</v>
      </c>
      <c r="E19" s="1" t="s">
        <v>130</v>
      </c>
      <c r="F19" s="1" t="s">
        <v>32</v>
      </c>
      <c r="G19" s="1" t="s">
        <v>32</v>
      </c>
      <c r="H19" s="1" t="s">
        <v>32</v>
      </c>
      <c r="I19" s="1" t="s">
        <v>33</v>
      </c>
      <c r="J19" s="1" t="s">
        <v>33</v>
      </c>
      <c r="K19" s="1" t="s">
        <v>519</v>
      </c>
      <c r="L19" s="1" t="s">
        <v>30</v>
      </c>
      <c r="M19" s="1" t="s">
        <v>520</v>
      </c>
    </row>
    <row r="20">
      <c r="A20" s="1" t="s">
        <v>131</v>
      </c>
      <c r="B20" s="1" t="s">
        <v>68</v>
      </c>
      <c r="C20" s="1" t="s">
        <v>128</v>
      </c>
      <c r="D20" s="1">
        <v>2000.0</v>
      </c>
      <c r="E20" s="1" t="s">
        <v>135</v>
      </c>
      <c r="F20" s="1" t="s">
        <v>54</v>
      </c>
      <c r="G20" s="1" t="s">
        <v>32</v>
      </c>
      <c r="H20" s="1" t="s">
        <v>32</v>
      </c>
      <c r="I20" s="1" t="s">
        <v>33</v>
      </c>
      <c r="J20" s="1" t="s">
        <v>33</v>
      </c>
      <c r="K20" s="1" t="s">
        <v>521</v>
      </c>
      <c r="L20" s="1" t="s">
        <v>335</v>
      </c>
      <c r="M20" s="1" t="s">
        <v>522</v>
      </c>
    </row>
    <row r="21">
      <c r="A21" s="1" t="s">
        <v>136</v>
      </c>
      <c r="B21" s="1" t="s">
        <v>68</v>
      </c>
      <c r="C21" s="1" t="s">
        <v>138</v>
      </c>
      <c r="D21" s="1">
        <v>3000.0</v>
      </c>
      <c r="E21" s="1" t="s">
        <v>140</v>
      </c>
      <c r="F21" s="1" t="s">
        <v>32</v>
      </c>
      <c r="G21" s="1" t="s">
        <v>32</v>
      </c>
      <c r="H21" s="1" t="s">
        <v>32</v>
      </c>
      <c r="I21" s="1" t="s">
        <v>33</v>
      </c>
      <c r="J21" s="1" t="s">
        <v>33</v>
      </c>
      <c r="K21" s="1" t="s">
        <v>523</v>
      </c>
      <c r="L21" s="1" t="s">
        <v>30</v>
      </c>
      <c r="M21" s="1" t="s">
        <v>524</v>
      </c>
    </row>
    <row r="22">
      <c r="A22" s="1" t="s">
        <v>141</v>
      </c>
      <c r="B22" s="1" t="s">
        <v>101</v>
      </c>
      <c r="C22" s="1" t="s">
        <v>143</v>
      </c>
      <c r="D22" s="1">
        <v>300.0</v>
      </c>
      <c r="E22" s="1" t="s">
        <v>146</v>
      </c>
      <c r="F22" s="1" t="s">
        <v>32</v>
      </c>
      <c r="G22" s="1" t="s">
        <v>32</v>
      </c>
      <c r="H22" s="1" t="s">
        <v>32</v>
      </c>
      <c r="I22" s="1" t="s">
        <v>33</v>
      </c>
      <c r="J22" s="1" t="s">
        <v>33</v>
      </c>
      <c r="K22" s="1" t="s">
        <v>525</v>
      </c>
      <c r="L22" s="1" t="s">
        <v>206</v>
      </c>
      <c r="M22" s="1" t="s">
        <v>526</v>
      </c>
    </row>
    <row r="23">
      <c r="A23" s="1" t="s">
        <v>147</v>
      </c>
      <c r="B23" s="1" t="s">
        <v>149</v>
      </c>
      <c r="C23" s="1" t="s">
        <v>128</v>
      </c>
      <c r="D23" s="1">
        <v>1200.0</v>
      </c>
      <c r="E23" s="1" t="s">
        <v>152</v>
      </c>
      <c r="F23" s="1" t="s">
        <v>32</v>
      </c>
      <c r="G23" s="1" t="s">
        <v>32</v>
      </c>
      <c r="H23" s="1" t="s">
        <v>32</v>
      </c>
      <c r="I23" s="1" t="s">
        <v>33</v>
      </c>
      <c r="J23" s="1" t="s">
        <v>33</v>
      </c>
      <c r="K23" s="1" t="s">
        <v>527</v>
      </c>
      <c r="L23" s="1" t="s">
        <v>335</v>
      </c>
      <c r="M23" s="1" t="s">
        <v>528</v>
      </c>
    </row>
    <row r="24">
      <c r="A24" s="1" t="s">
        <v>153</v>
      </c>
      <c r="B24" s="1" t="s">
        <v>27</v>
      </c>
      <c r="C24" s="1" t="s">
        <v>155</v>
      </c>
      <c r="D24" s="1">
        <v>900.0</v>
      </c>
      <c r="E24" s="1" t="s">
        <v>157</v>
      </c>
      <c r="F24" s="1" t="s">
        <v>32</v>
      </c>
      <c r="G24" s="1" t="s">
        <v>32</v>
      </c>
      <c r="H24" s="1" t="s">
        <v>32</v>
      </c>
      <c r="I24" s="1" t="s">
        <v>33</v>
      </c>
      <c r="J24" s="1" t="s">
        <v>33</v>
      </c>
      <c r="K24" s="1" t="s">
        <v>529</v>
      </c>
      <c r="L24" s="1" t="s">
        <v>30</v>
      </c>
      <c r="M24" s="1" t="s">
        <v>530</v>
      </c>
    </row>
    <row r="25">
      <c r="A25" s="1" t="s">
        <v>158</v>
      </c>
      <c r="B25" s="1" t="s">
        <v>36</v>
      </c>
      <c r="C25" s="1" t="s">
        <v>155</v>
      </c>
      <c r="D25" s="1">
        <v>300.0</v>
      </c>
      <c r="E25" s="1" t="s">
        <v>161</v>
      </c>
      <c r="F25" s="1" t="s">
        <v>32</v>
      </c>
      <c r="G25" s="1" t="s">
        <v>32</v>
      </c>
      <c r="H25" s="1" t="s">
        <v>32</v>
      </c>
      <c r="I25" s="1" t="s">
        <v>33</v>
      </c>
      <c r="J25" s="1" t="s">
        <v>33</v>
      </c>
      <c r="K25" s="1" t="s">
        <v>531</v>
      </c>
      <c r="L25" s="1" t="s">
        <v>335</v>
      </c>
      <c r="M25" s="1" t="s">
        <v>532</v>
      </c>
    </row>
    <row r="26">
      <c r="A26" s="1" t="s">
        <v>162</v>
      </c>
      <c r="B26" s="1" t="s">
        <v>36</v>
      </c>
      <c r="C26" s="1" t="s">
        <v>164</v>
      </c>
      <c r="D26" s="1">
        <v>400.0</v>
      </c>
      <c r="E26" s="1" t="s">
        <v>166</v>
      </c>
      <c r="F26" s="1" t="s">
        <v>32</v>
      </c>
      <c r="G26" s="1" t="s">
        <v>32</v>
      </c>
      <c r="H26" s="1" t="s">
        <v>32</v>
      </c>
      <c r="I26" s="1" t="s">
        <v>33</v>
      </c>
      <c r="J26" s="1" t="s">
        <v>33</v>
      </c>
      <c r="K26" s="1" t="s">
        <v>533</v>
      </c>
      <c r="L26" s="1" t="s">
        <v>206</v>
      </c>
      <c r="M26" s="1" t="s">
        <v>534</v>
      </c>
    </row>
    <row r="27">
      <c r="A27" s="1" t="s">
        <v>167</v>
      </c>
      <c r="B27" s="1" t="s">
        <v>68</v>
      </c>
      <c r="C27" s="1" t="s">
        <v>169</v>
      </c>
      <c r="D27" s="1">
        <v>350.0</v>
      </c>
      <c r="E27" s="1" t="s">
        <v>171</v>
      </c>
      <c r="F27" s="1" t="s">
        <v>32</v>
      </c>
      <c r="G27" s="1" t="s">
        <v>32</v>
      </c>
      <c r="H27" s="1" t="s">
        <v>32</v>
      </c>
      <c r="I27" s="1" t="s">
        <v>33</v>
      </c>
      <c r="J27" s="1" t="s">
        <v>33</v>
      </c>
      <c r="K27" s="1" t="s">
        <v>535</v>
      </c>
      <c r="L27" s="1" t="s">
        <v>335</v>
      </c>
      <c r="M27" s="1" t="s">
        <v>536</v>
      </c>
    </row>
    <row r="28">
      <c r="A28" s="1" t="s">
        <v>172</v>
      </c>
      <c r="B28" s="1" t="s">
        <v>68</v>
      </c>
      <c r="C28" s="1" t="s">
        <v>174</v>
      </c>
      <c r="D28" s="1">
        <v>300.0</v>
      </c>
      <c r="E28" s="1" t="s">
        <v>177</v>
      </c>
      <c r="F28" s="1" t="s">
        <v>32</v>
      </c>
      <c r="G28" s="1" t="s">
        <v>32</v>
      </c>
      <c r="H28" s="1" t="s">
        <v>32</v>
      </c>
      <c r="I28" s="1" t="s">
        <v>33</v>
      </c>
      <c r="J28" s="1" t="s">
        <v>33</v>
      </c>
      <c r="K28" s="1" t="s">
        <v>537</v>
      </c>
      <c r="L28" s="1" t="s">
        <v>176</v>
      </c>
      <c r="M28" s="1" t="s">
        <v>538</v>
      </c>
    </row>
    <row r="29">
      <c r="A29" s="1" t="s">
        <v>178</v>
      </c>
      <c r="B29" s="1" t="s">
        <v>27</v>
      </c>
      <c r="C29" s="1" t="s">
        <v>180</v>
      </c>
      <c r="D29" s="1">
        <v>3000.0</v>
      </c>
      <c r="E29" s="1" t="s">
        <v>182</v>
      </c>
      <c r="F29" s="1" t="s">
        <v>54</v>
      </c>
      <c r="G29" s="1" t="s">
        <v>32</v>
      </c>
      <c r="H29" s="1" t="s">
        <v>32</v>
      </c>
      <c r="I29" s="1" t="s">
        <v>33</v>
      </c>
      <c r="J29" s="1" t="s">
        <v>33</v>
      </c>
      <c r="K29" s="1" t="s">
        <v>539</v>
      </c>
      <c r="L29" s="1" t="s">
        <v>30</v>
      </c>
      <c r="M29" s="1" t="s">
        <v>540</v>
      </c>
    </row>
    <row r="30">
      <c r="A30" s="1" t="s">
        <v>183</v>
      </c>
      <c r="B30" s="1" t="s">
        <v>36</v>
      </c>
      <c r="C30" s="1" t="s">
        <v>185</v>
      </c>
      <c r="D30" s="1">
        <v>900.0</v>
      </c>
      <c r="E30" s="1" t="s">
        <v>187</v>
      </c>
      <c r="F30" s="1" t="s">
        <v>32</v>
      </c>
      <c r="G30" s="1" t="s">
        <v>32</v>
      </c>
      <c r="H30" s="1" t="s">
        <v>32</v>
      </c>
      <c r="I30" s="1" t="s">
        <v>33</v>
      </c>
      <c r="J30" s="1" t="s">
        <v>33</v>
      </c>
      <c r="K30" s="1" t="s">
        <v>541</v>
      </c>
      <c r="L30" s="1" t="s">
        <v>335</v>
      </c>
      <c r="M30" s="1" t="s">
        <v>542</v>
      </c>
    </row>
    <row r="31">
      <c r="A31" s="1" t="s">
        <v>188</v>
      </c>
      <c r="B31" s="1" t="s">
        <v>68</v>
      </c>
      <c r="C31" s="1" t="s">
        <v>37</v>
      </c>
      <c r="D31" s="1">
        <v>1200.0</v>
      </c>
      <c r="E31" s="1" t="s">
        <v>191</v>
      </c>
      <c r="F31" s="1" t="s">
        <v>32</v>
      </c>
      <c r="G31" s="1" t="s">
        <v>32</v>
      </c>
      <c r="H31" s="1" t="s">
        <v>32</v>
      </c>
      <c r="I31" s="1" t="s">
        <v>33</v>
      </c>
      <c r="J31" s="1" t="s">
        <v>55</v>
      </c>
      <c r="K31" s="1" t="s">
        <v>543</v>
      </c>
      <c r="L31" s="1" t="s">
        <v>206</v>
      </c>
      <c r="M31" s="1" t="s">
        <v>544</v>
      </c>
    </row>
    <row r="32">
      <c r="A32" s="1" t="s">
        <v>192</v>
      </c>
      <c r="B32" s="1" t="s">
        <v>68</v>
      </c>
      <c r="C32" s="1" t="s">
        <v>194</v>
      </c>
      <c r="D32" s="1">
        <v>5000.0</v>
      </c>
      <c r="E32" s="1" t="s">
        <v>197</v>
      </c>
      <c r="F32" s="1" t="s">
        <v>54</v>
      </c>
      <c r="G32" s="1" t="s">
        <v>32</v>
      </c>
      <c r="H32" s="1" t="s">
        <v>32</v>
      </c>
      <c r="I32" s="1" t="s">
        <v>33</v>
      </c>
      <c r="J32" s="1" t="s">
        <v>55</v>
      </c>
      <c r="K32" s="1" t="s">
        <v>545</v>
      </c>
      <c r="L32" s="1" t="s">
        <v>30</v>
      </c>
      <c r="M32" s="1" t="s">
        <v>546</v>
      </c>
    </row>
    <row r="33">
      <c r="A33" s="1" t="s">
        <v>198</v>
      </c>
      <c r="B33" s="1" t="s">
        <v>200</v>
      </c>
      <c r="C33" s="1" t="s">
        <v>194</v>
      </c>
      <c r="D33" s="1">
        <v>2000.0</v>
      </c>
      <c r="E33" s="1" t="s">
        <v>202</v>
      </c>
      <c r="F33" s="1" t="s">
        <v>32</v>
      </c>
      <c r="G33" s="1" t="s">
        <v>32</v>
      </c>
      <c r="H33" s="1" t="s">
        <v>32</v>
      </c>
      <c r="I33" s="1" t="s">
        <v>33</v>
      </c>
      <c r="J33" s="1" t="s">
        <v>33</v>
      </c>
      <c r="K33" s="1" t="s">
        <v>547</v>
      </c>
      <c r="L33" s="1" t="s">
        <v>335</v>
      </c>
      <c r="M33" s="1" t="s">
        <v>548</v>
      </c>
    </row>
    <row r="34">
      <c r="A34" s="1" t="s">
        <v>203</v>
      </c>
      <c r="B34" s="1" t="s">
        <v>27</v>
      </c>
      <c r="C34" s="1" t="s">
        <v>28</v>
      </c>
      <c r="D34" s="1">
        <v>300.0</v>
      </c>
      <c r="E34" s="1" t="s">
        <v>207</v>
      </c>
      <c r="F34" s="1" t="s">
        <v>32</v>
      </c>
      <c r="G34" s="1" t="s">
        <v>32</v>
      </c>
      <c r="H34" s="1" t="s">
        <v>32</v>
      </c>
      <c r="I34" s="1" t="s">
        <v>33</v>
      </c>
      <c r="J34" s="1" t="s">
        <v>33</v>
      </c>
      <c r="K34" s="1" t="s">
        <v>549</v>
      </c>
      <c r="L34" s="1" t="s">
        <v>206</v>
      </c>
      <c r="M34" s="1" t="s">
        <v>550</v>
      </c>
    </row>
    <row r="35">
      <c r="A35" s="1" t="s">
        <v>122</v>
      </c>
      <c r="B35" s="1" t="s">
        <v>68</v>
      </c>
      <c r="C35" s="1" t="s">
        <v>28</v>
      </c>
      <c r="D35" s="1">
        <v>1000.0</v>
      </c>
      <c r="E35" s="1" t="s">
        <v>211</v>
      </c>
      <c r="F35" s="1" t="s">
        <v>32</v>
      </c>
      <c r="G35" s="1" t="s">
        <v>32</v>
      </c>
      <c r="H35" s="1" t="s">
        <v>32</v>
      </c>
      <c r="I35" s="1" t="s">
        <v>33</v>
      </c>
      <c r="J35" s="1" t="s">
        <v>33</v>
      </c>
      <c r="K35" s="1" t="s">
        <v>551</v>
      </c>
      <c r="L35" s="1" t="s">
        <v>335</v>
      </c>
      <c r="M35" s="1" t="s">
        <v>552</v>
      </c>
    </row>
    <row r="36">
      <c r="A36" s="1" t="s">
        <v>212</v>
      </c>
      <c r="B36" s="1" t="s">
        <v>68</v>
      </c>
      <c r="C36" s="1" t="s">
        <v>28</v>
      </c>
      <c r="D36" s="1">
        <v>1500.0</v>
      </c>
      <c r="E36" s="1" t="s">
        <v>215</v>
      </c>
      <c r="F36" s="1" t="s">
        <v>32</v>
      </c>
      <c r="G36" s="1" t="s">
        <v>32</v>
      </c>
      <c r="H36" s="1" t="s">
        <v>32</v>
      </c>
      <c r="I36" s="1" t="s">
        <v>33</v>
      </c>
      <c r="J36" s="1" t="s">
        <v>33</v>
      </c>
      <c r="K36" s="1" t="s">
        <v>553</v>
      </c>
      <c r="L36" s="1" t="s">
        <v>30</v>
      </c>
      <c r="M36" s="1" t="s">
        <v>554</v>
      </c>
    </row>
    <row r="37">
      <c r="A37" s="1" t="s">
        <v>216</v>
      </c>
      <c r="B37" s="1" t="s">
        <v>218</v>
      </c>
      <c r="C37" s="1" t="s">
        <v>28</v>
      </c>
      <c r="D37" s="1">
        <v>800.0</v>
      </c>
      <c r="E37" s="1" t="s">
        <v>220</v>
      </c>
      <c r="F37" s="1" t="s">
        <v>32</v>
      </c>
      <c r="G37" s="1" t="s">
        <v>32</v>
      </c>
      <c r="H37" s="1" t="s">
        <v>32</v>
      </c>
      <c r="I37" s="1" t="s">
        <v>33</v>
      </c>
      <c r="J37" s="1" t="s">
        <v>33</v>
      </c>
      <c r="K37" s="1" t="s">
        <v>555</v>
      </c>
      <c r="L37" s="1" t="s">
        <v>335</v>
      </c>
      <c r="M37" s="1" t="s">
        <v>556</v>
      </c>
    </row>
    <row r="38">
      <c r="A38" s="1" t="s">
        <v>221</v>
      </c>
      <c r="B38" s="1" t="s">
        <v>49</v>
      </c>
      <c r="C38" s="1" t="s">
        <v>223</v>
      </c>
      <c r="D38" s="1">
        <v>200.0</v>
      </c>
      <c r="E38" s="1" t="s">
        <v>225</v>
      </c>
      <c r="F38" s="1" t="s">
        <v>54</v>
      </c>
      <c r="G38" s="1" t="s">
        <v>54</v>
      </c>
      <c r="H38" s="1" t="s">
        <v>32</v>
      </c>
      <c r="I38" s="1" t="s">
        <v>55</v>
      </c>
      <c r="J38" s="1" t="s">
        <v>55</v>
      </c>
      <c r="K38" s="1" t="s">
        <v>557</v>
      </c>
      <c r="L38" s="1" t="s">
        <v>176</v>
      </c>
      <c r="M38" s="1" t="s">
        <v>558</v>
      </c>
    </row>
    <row r="39">
      <c r="A39" s="1" t="s">
        <v>226</v>
      </c>
      <c r="B39" s="1" t="s">
        <v>228</v>
      </c>
      <c r="C39" s="1" t="s">
        <v>37</v>
      </c>
      <c r="D39" s="1">
        <v>700.0</v>
      </c>
      <c r="E39" s="1" t="s">
        <v>230</v>
      </c>
      <c r="F39" s="1" t="s">
        <v>32</v>
      </c>
      <c r="G39" s="1" t="s">
        <v>32</v>
      </c>
      <c r="H39" s="1" t="s">
        <v>32</v>
      </c>
      <c r="I39" s="1" t="s">
        <v>33</v>
      </c>
      <c r="J39" s="1" t="s">
        <v>33</v>
      </c>
      <c r="K39" s="1" t="s">
        <v>559</v>
      </c>
      <c r="L39" s="1" t="s">
        <v>206</v>
      </c>
      <c r="M39" s="1" t="s">
        <v>560</v>
      </c>
    </row>
    <row r="40">
      <c r="A40" s="1" t="s">
        <v>231</v>
      </c>
      <c r="B40" s="1" t="s">
        <v>49</v>
      </c>
      <c r="C40" s="1" t="s">
        <v>233</v>
      </c>
      <c r="D40" s="1">
        <v>3000.0</v>
      </c>
      <c r="E40" s="1" t="s">
        <v>235</v>
      </c>
      <c r="F40" s="1" t="s">
        <v>54</v>
      </c>
      <c r="G40" s="1" t="s">
        <v>32</v>
      </c>
      <c r="H40" s="1" t="s">
        <v>32</v>
      </c>
      <c r="I40" s="1" t="s">
        <v>33</v>
      </c>
      <c r="J40" s="1" t="s">
        <v>33</v>
      </c>
      <c r="K40" s="1" t="s">
        <v>561</v>
      </c>
      <c r="L40" s="1" t="s">
        <v>30</v>
      </c>
      <c r="M40" s="1" t="s">
        <v>562</v>
      </c>
    </row>
    <row r="41">
      <c r="A41" s="1" t="s">
        <v>236</v>
      </c>
      <c r="B41" s="1" t="s">
        <v>36</v>
      </c>
      <c r="C41" s="1" t="s">
        <v>238</v>
      </c>
      <c r="D41" s="1">
        <v>5000.0</v>
      </c>
      <c r="E41" s="1" t="s">
        <v>241</v>
      </c>
      <c r="F41" s="1" t="s">
        <v>54</v>
      </c>
      <c r="G41" s="1" t="s">
        <v>32</v>
      </c>
      <c r="H41" s="1" t="s">
        <v>32</v>
      </c>
      <c r="I41" s="1" t="s">
        <v>33</v>
      </c>
      <c r="J41" s="1" t="s">
        <v>33</v>
      </c>
      <c r="K41" s="1" t="s">
        <v>563</v>
      </c>
      <c r="L41" s="1" t="s">
        <v>335</v>
      </c>
      <c r="M41" s="1" t="s">
        <v>564</v>
      </c>
    </row>
    <row r="42">
      <c r="A42" s="1" t="s">
        <v>242</v>
      </c>
      <c r="B42" s="1" t="s">
        <v>68</v>
      </c>
      <c r="C42" s="1" t="s">
        <v>244</v>
      </c>
      <c r="D42" s="1">
        <v>10000.0</v>
      </c>
      <c r="E42" s="1" t="s">
        <v>247</v>
      </c>
      <c r="F42" s="1" t="s">
        <v>54</v>
      </c>
      <c r="G42" s="1" t="s">
        <v>32</v>
      </c>
      <c r="H42" s="1" t="s">
        <v>32</v>
      </c>
      <c r="I42" s="1" t="s">
        <v>33</v>
      </c>
      <c r="J42" s="1" t="s">
        <v>33</v>
      </c>
      <c r="K42" s="1" t="s">
        <v>565</v>
      </c>
      <c r="L42" s="1" t="s">
        <v>30</v>
      </c>
      <c r="M42" s="1" t="s">
        <v>566</v>
      </c>
    </row>
    <row r="43">
      <c r="A43" s="1" t="s">
        <v>248</v>
      </c>
      <c r="B43" s="1" t="s">
        <v>68</v>
      </c>
      <c r="C43" s="1" t="s">
        <v>112</v>
      </c>
      <c r="D43" s="1">
        <v>800.0</v>
      </c>
      <c r="E43" s="1" t="s">
        <v>251</v>
      </c>
      <c r="F43" s="1" t="s">
        <v>54</v>
      </c>
      <c r="G43" s="1" t="s">
        <v>32</v>
      </c>
      <c r="H43" s="1" t="s">
        <v>32</v>
      </c>
      <c r="I43" s="1" t="s">
        <v>33</v>
      </c>
      <c r="J43" s="1" t="s">
        <v>33</v>
      </c>
      <c r="K43" s="1" t="s">
        <v>567</v>
      </c>
      <c r="L43" s="1" t="s">
        <v>335</v>
      </c>
      <c r="M43" s="1" t="s">
        <v>568</v>
      </c>
    </row>
    <row r="44">
      <c r="A44" s="1" t="s">
        <v>252</v>
      </c>
      <c r="B44" s="1" t="s">
        <v>218</v>
      </c>
      <c r="C44" s="1" t="s">
        <v>254</v>
      </c>
      <c r="D44" s="1">
        <v>700.0</v>
      </c>
      <c r="E44" s="1" t="s">
        <v>256</v>
      </c>
      <c r="F44" s="1" t="s">
        <v>54</v>
      </c>
      <c r="G44" s="1" t="s">
        <v>32</v>
      </c>
      <c r="H44" s="1" t="s">
        <v>32</v>
      </c>
      <c r="I44" s="1" t="s">
        <v>55</v>
      </c>
      <c r="J44" s="1" t="s">
        <v>33</v>
      </c>
      <c r="K44" s="1" t="s">
        <v>569</v>
      </c>
      <c r="L44" s="1" t="s">
        <v>206</v>
      </c>
      <c r="M44" s="1" t="s">
        <v>570</v>
      </c>
    </row>
    <row r="45">
      <c r="A45" s="1" t="s">
        <v>257</v>
      </c>
      <c r="B45" s="1" t="s">
        <v>27</v>
      </c>
      <c r="C45" s="1" t="s">
        <v>259</v>
      </c>
      <c r="D45" s="1">
        <v>2000.0</v>
      </c>
      <c r="E45" s="1" t="s">
        <v>261</v>
      </c>
      <c r="F45" s="1" t="s">
        <v>54</v>
      </c>
      <c r="G45" s="1" t="s">
        <v>32</v>
      </c>
      <c r="H45" s="1" t="s">
        <v>32</v>
      </c>
      <c r="I45" s="1" t="s">
        <v>33</v>
      </c>
      <c r="J45" s="1" t="s">
        <v>55</v>
      </c>
      <c r="K45" s="1" t="s">
        <v>571</v>
      </c>
      <c r="L45" s="1" t="s">
        <v>30</v>
      </c>
      <c r="M45" s="1" t="s">
        <v>572</v>
      </c>
    </row>
    <row r="46">
      <c r="A46" s="1" t="s">
        <v>262</v>
      </c>
      <c r="B46" s="1" t="s">
        <v>68</v>
      </c>
      <c r="C46" s="1" t="s">
        <v>264</v>
      </c>
      <c r="D46" s="1">
        <v>8000.0</v>
      </c>
      <c r="E46" s="1" t="s">
        <v>266</v>
      </c>
      <c r="F46" s="1" t="s">
        <v>54</v>
      </c>
      <c r="G46" s="1" t="s">
        <v>32</v>
      </c>
      <c r="H46" s="1" t="s">
        <v>32</v>
      </c>
      <c r="I46" s="1" t="s">
        <v>33</v>
      </c>
      <c r="J46" s="1" t="s">
        <v>33</v>
      </c>
      <c r="K46" s="1" t="s">
        <v>573</v>
      </c>
      <c r="L46" s="1" t="s">
        <v>335</v>
      </c>
      <c r="M46" s="1" t="s">
        <v>574</v>
      </c>
    </row>
    <row r="47">
      <c r="A47" s="1" t="s">
        <v>267</v>
      </c>
      <c r="B47" s="1" t="s">
        <v>68</v>
      </c>
      <c r="C47" s="1" t="s">
        <v>264</v>
      </c>
      <c r="D47" s="1">
        <v>1500.0</v>
      </c>
      <c r="E47" s="1" t="s">
        <v>270</v>
      </c>
      <c r="F47" s="1" t="s">
        <v>54</v>
      </c>
      <c r="G47" s="1" t="s">
        <v>32</v>
      </c>
      <c r="H47" s="1" t="s">
        <v>32</v>
      </c>
      <c r="I47" s="1" t="s">
        <v>55</v>
      </c>
      <c r="J47" s="1" t="s">
        <v>33</v>
      </c>
      <c r="K47" s="1" t="s">
        <v>575</v>
      </c>
      <c r="L47" s="1" t="s">
        <v>176</v>
      </c>
      <c r="M47" s="1" t="s">
        <v>576</v>
      </c>
    </row>
    <row r="48">
      <c r="A48" s="1" t="s">
        <v>271</v>
      </c>
      <c r="B48" s="1" t="s">
        <v>228</v>
      </c>
      <c r="C48" s="1" t="s">
        <v>37</v>
      </c>
      <c r="D48" s="1">
        <v>4000.0</v>
      </c>
      <c r="E48" s="1" t="s">
        <v>275</v>
      </c>
      <c r="F48" s="1" t="s">
        <v>54</v>
      </c>
      <c r="G48" s="1" t="s">
        <v>32</v>
      </c>
      <c r="H48" s="1" t="s">
        <v>32</v>
      </c>
      <c r="I48" s="1" t="s">
        <v>33</v>
      </c>
      <c r="J48" s="1" t="s">
        <v>33</v>
      </c>
      <c r="K48" s="1" t="s">
        <v>577</v>
      </c>
      <c r="L48" s="1" t="s">
        <v>30</v>
      </c>
      <c r="M48" s="1" t="s">
        <v>578</v>
      </c>
    </row>
    <row r="49">
      <c r="A49" s="1" t="s">
        <v>276</v>
      </c>
      <c r="B49" s="1" t="s">
        <v>68</v>
      </c>
      <c r="C49" s="1" t="s">
        <v>50</v>
      </c>
      <c r="D49" s="1">
        <v>7000.0</v>
      </c>
      <c r="E49" s="1" t="s">
        <v>279</v>
      </c>
      <c r="F49" s="1" t="s">
        <v>54</v>
      </c>
      <c r="G49" s="1" t="s">
        <v>32</v>
      </c>
      <c r="H49" s="1" t="s">
        <v>32</v>
      </c>
      <c r="I49" s="1" t="s">
        <v>33</v>
      </c>
      <c r="J49" s="1" t="s">
        <v>33</v>
      </c>
      <c r="K49" s="1" t="s">
        <v>579</v>
      </c>
      <c r="L49" s="1" t="s">
        <v>335</v>
      </c>
      <c r="M49" s="1" t="s">
        <v>580</v>
      </c>
    </row>
    <row r="50">
      <c r="A50" s="1" t="s">
        <v>280</v>
      </c>
      <c r="B50" s="1" t="s">
        <v>68</v>
      </c>
      <c r="C50" s="1" t="s">
        <v>50</v>
      </c>
      <c r="D50" s="1">
        <v>1500.0</v>
      </c>
      <c r="E50" s="1" t="s">
        <v>284</v>
      </c>
      <c r="F50" s="1" t="s">
        <v>32</v>
      </c>
      <c r="G50" s="1" t="s">
        <v>32</v>
      </c>
      <c r="H50" s="1" t="s">
        <v>32</v>
      </c>
      <c r="I50" s="1" t="s">
        <v>33</v>
      </c>
      <c r="J50" s="1" t="s">
        <v>33</v>
      </c>
      <c r="K50" s="1" t="s">
        <v>581</v>
      </c>
      <c r="L50" s="1" t="s">
        <v>206</v>
      </c>
      <c r="M50" s="1" t="s">
        <v>582</v>
      </c>
    </row>
    <row r="51">
      <c r="A51" s="1" t="s">
        <v>285</v>
      </c>
      <c r="B51" s="1" t="s">
        <v>68</v>
      </c>
      <c r="C51" s="1" t="s">
        <v>37</v>
      </c>
      <c r="D51" s="1">
        <v>6000.0</v>
      </c>
      <c r="E51" s="1" t="s">
        <v>288</v>
      </c>
      <c r="F51" s="1" t="s">
        <v>54</v>
      </c>
      <c r="G51" s="1" t="s">
        <v>32</v>
      </c>
      <c r="H51" s="1" t="s">
        <v>32</v>
      </c>
      <c r="I51" s="1" t="s">
        <v>33</v>
      </c>
      <c r="J51" s="1" t="s">
        <v>33</v>
      </c>
      <c r="K51" s="1" t="s">
        <v>583</v>
      </c>
      <c r="L51" s="1" t="s">
        <v>30</v>
      </c>
      <c r="M51" s="1" t="s">
        <v>584</v>
      </c>
    </row>
    <row r="52">
      <c r="A52" s="1" t="s">
        <v>289</v>
      </c>
      <c r="B52" s="1" t="s">
        <v>68</v>
      </c>
      <c r="C52" s="1" t="s">
        <v>37</v>
      </c>
      <c r="D52" s="1">
        <v>2000.0</v>
      </c>
      <c r="E52" s="1" t="s">
        <v>293</v>
      </c>
      <c r="F52" s="1" t="s">
        <v>32</v>
      </c>
      <c r="G52" s="1" t="s">
        <v>32</v>
      </c>
      <c r="H52" s="1" t="s">
        <v>32</v>
      </c>
      <c r="I52" s="1" t="s">
        <v>33</v>
      </c>
      <c r="J52" s="1" t="s">
        <v>33</v>
      </c>
      <c r="K52" s="1" t="s">
        <v>585</v>
      </c>
      <c r="L52" s="1" t="s">
        <v>335</v>
      </c>
      <c r="M52" s="1" t="s">
        <v>586</v>
      </c>
    </row>
    <row r="53">
      <c r="A53" s="1" t="s">
        <v>294</v>
      </c>
      <c r="B53" s="1" t="s">
        <v>27</v>
      </c>
      <c r="C53" s="1" t="s">
        <v>37</v>
      </c>
      <c r="D53" s="1">
        <v>3000.0</v>
      </c>
      <c r="E53" s="1" t="s">
        <v>297</v>
      </c>
      <c r="F53" s="1" t="s">
        <v>32</v>
      </c>
      <c r="G53" s="1" t="s">
        <v>32</v>
      </c>
      <c r="H53" s="1" t="s">
        <v>32</v>
      </c>
      <c r="I53" s="1" t="s">
        <v>33</v>
      </c>
      <c r="J53" s="1" t="s">
        <v>55</v>
      </c>
      <c r="K53" s="1" t="s">
        <v>587</v>
      </c>
      <c r="L53" s="1" t="s">
        <v>176</v>
      </c>
      <c r="M53" s="1" t="s">
        <v>588</v>
      </c>
    </row>
    <row r="54">
      <c r="A54" s="1" t="s">
        <v>298</v>
      </c>
      <c r="B54" s="1" t="s">
        <v>36</v>
      </c>
      <c r="C54" s="1" t="s">
        <v>300</v>
      </c>
      <c r="D54" s="1">
        <v>2500.0</v>
      </c>
      <c r="E54" s="1" t="s">
        <v>302</v>
      </c>
      <c r="F54" s="1" t="s">
        <v>32</v>
      </c>
      <c r="G54" s="1" t="s">
        <v>32</v>
      </c>
      <c r="H54" s="1" t="s">
        <v>32</v>
      </c>
      <c r="I54" s="1" t="s">
        <v>33</v>
      </c>
      <c r="J54" s="1" t="s">
        <v>33</v>
      </c>
      <c r="K54" s="1" t="s">
        <v>589</v>
      </c>
      <c r="L54" s="1" t="s">
        <v>30</v>
      </c>
      <c r="M54" s="1" t="s">
        <v>590</v>
      </c>
    </row>
    <row r="55">
      <c r="A55" s="1" t="s">
        <v>303</v>
      </c>
      <c r="B55" s="1" t="s">
        <v>36</v>
      </c>
      <c r="C55" s="1" t="s">
        <v>305</v>
      </c>
      <c r="D55" s="1">
        <v>900.0</v>
      </c>
      <c r="E55" s="1" t="s">
        <v>307</v>
      </c>
      <c r="F55" s="1" t="s">
        <v>32</v>
      </c>
      <c r="G55" s="1" t="s">
        <v>32</v>
      </c>
      <c r="H55" s="1" t="s">
        <v>32</v>
      </c>
      <c r="I55" s="1" t="s">
        <v>33</v>
      </c>
      <c r="J55" s="1" t="s">
        <v>33</v>
      </c>
      <c r="K55" s="1" t="s">
        <v>591</v>
      </c>
      <c r="L55" s="1" t="s">
        <v>335</v>
      </c>
      <c r="M55" s="1" t="s">
        <v>592</v>
      </c>
    </row>
    <row r="56">
      <c r="A56" s="1" t="s">
        <v>593</v>
      </c>
      <c r="B56" s="1" t="s">
        <v>68</v>
      </c>
      <c r="C56" s="1" t="s">
        <v>155</v>
      </c>
      <c r="D56" s="1">
        <v>300.0</v>
      </c>
      <c r="E56" s="1" t="s">
        <v>311</v>
      </c>
      <c r="F56" s="1" t="s">
        <v>32</v>
      </c>
      <c r="G56" s="1" t="s">
        <v>32</v>
      </c>
      <c r="H56" s="1" t="s">
        <v>32</v>
      </c>
      <c r="I56" s="1" t="s">
        <v>33</v>
      </c>
      <c r="J56" s="1" t="s">
        <v>33</v>
      </c>
      <c r="K56" s="1" t="s">
        <v>594</v>
      </c>
      <c r="L56" s="1" t="s">
        <v>206</v>
      </c>
      <c r="M56" s="1" t="s">
        <v>595</v>
      </c>
    </row>
    <row r="57">
      <c r="A57" s="1" t="s">
        <v>312</v>
      </c>
      <c r="B57" s="1" t="s">
        <v>36</v>
      </c>
      <c r="C57" s="1" t="s">
        <v>314</v>
      </c>
      <c r="D57" s="1">
        <v>3000.0</v>
      </c>
      <c r="E57" s="1" t="s">
        <v>316</v>
      </c>
      <c r="F57" s="1" t="s">
        <v>54</v>
      </c>
      <c r="G57" s="1" t="s">
        <v>32</v>
      </c>
      <c r="H57" s="1" t="s">
        <v>32</v>
      </c>
      <c r="I57" s="1" t="s">
        <v>33</v>
      </c>
      <c r="J57" s="1" t="s">
        <v>55</v>
      </c>
      <c r="K57" s="1" t="s">
        <v>596</v>
      </c>
      <c r="L57" s="1" t="s">
        <v>30</v>
      </c>
      <c r="M57" s="1" t="s">
        <v>597</v>
      </c>
    </row>
    <row r="58">
      <c r="A58" s="1" t="s">
        <v>317</v>
      </c>
      <c r="B58" s="1" t="s">
        <v>36</v>
      </c>
      <c r="C58" s="1" t="s">
        <v>314</v>
      </c>
      <c r="D58" s="1">
        <v>500.0</v>
      </c>
      <c r="E58" s="1" t="s">
        <v>321</v>
      </c>
      <c r="F58" s="1" t="s">
        <v>32</v>
      </c>
      <c r="G58" s="1" t="s">
        <v>32</v>
      </c>
      <c r="H58" s="1" t="s">
        <v>32</v>
      </c>
      <c r="I58" s="1" t="s">
        <v>33</v>
      </c>
      <c r="J58" s="1" t="s">
        <v>33</v>
      </c>
      <c r="K58" s="1" t="s">
        <v>598</v>
      </c>
      <c r="L58" s="1" t="s">
        <v>335</v>
      </c>
      <c r="M58" s="1" t="s">
        <v>599</v>
      </c>
    </row>
    <row r="59">
      <c r="A59" s="1" t="s">
        <v>322</v>
      </c>
      <c r="B59" s="1" t="s">
        <v>324</v>
      </c>
      <c r="C59" s="1" t="s">
        <v>325</v>
      </c>
      <c r="D59" s="1">
        <v>2000.0</v>
      </c>
      <c r="E59" s="1" t="s">
        <v>327</v>
      </c>
      <c r="F59" s="1" t="s">
        <v>54</v>
      </c>
      <c r="G59" s="1" t="s">
        <v>32</v>
      </c>
      <c r="H59" s="1" t="s">
        <v>32</v>
      </c>
      <c r="I59" s="1" t="s">
        <v>33</v>
      </c>
      <c r="J59" s="1" t="s">
        <v>33</v>
      </c>
      <c r="K59" s="1" t="s">
        <v>600</v>
      </c>
      <c r="L59" s="1" t="s">
        <v>206</v>
      </c>
      <c r="M59" s="1" t="s">
        <v>601</v>
      </c>
    </row>
    <row r="60">
      <c r="A60" s="1" t="s">
        <v>328</v>
      </c>
      <c r="B60" s="1" t="s">
        <v>49</v>
      </c>
      <c r="C60" s="1" t="s">
        <v>325</v>
      </c>
      <c r="D60" s="1">
        <v>1000.0</v>
      </c>
      <c r="E60" s="1" t="s">
        <v>331</v>
      </c>
      <c r="F60" s="1" t="s">
        <v>32</v>
      </c>
      <c r="G60" s="1" t="s">
        <v>32</v>
      </c>
      <c r="H60" s="1" t="s">
        <v>32</v>
      </c>
      <c r="I60" s="1" t="s">
        <v>33</v>
      </c>
      <c r="J60" s="1" t="s">
        <v>33</v>
      </c>
      <c r="K60" s="1" t="s">
        <v>602</v>
      </c>
      <c r="L60" s="1" t="s">
        <v>30</v>
      </c>
      <c r="M60" s="1" t="s">
        <v>603</v>
      </c>
    </row>
    <row r="61">
      <c r="A61" s="1" t="s">
        <v>332</v>
      </c>
      <c r="B61" s="1" t="s">
        <v>68</v>
      </c>
      <c r="C61" s="1" t="s">
        <v>325</v>
      </c>
      <c r="D61" s="1">
        <v>7000.0</v>
      </c>
      <c r="E61" s="1" t="s">
        <v>336</v>
      </c>
      <c r="F61" s="1" t="s">
        <v>54</v>
      </c>
      <c r="G61" s="1" t="s">
        <v>32</v>
      </c>
      <c r="H61" s="1" t="s">
        <v>32</v>
      </c>
      <c r="I61" s="1" t="s">
        <v>33</v>
      </c>
      <c r="J61" s="1" t="s">
        <v>33</v>
      </c>
      <c r="K61" s="1" t="s">
        <v>604</v>
      </c>
      <c r="L61" s="1" t="s">
        <v>335</v>
      </c>
      <c r="M61" s="1" t="s">
        <v>605</v>
      </c>
    </row>
    <row r="62">
      <c r="A62" s="1" t="s">
        <v>337</v>
      </c>
      <c r="B62" s="1" t="s">
        <v>339</v>
      </c>
      <c r="C62" s="1" t="s">
        <v>340</v>
      </c>
      <c r="D62" s="1">
        <v>4000.0</v>
      </c>
      <c r="E62" s="1" t="s">
        <v>342</v>
      </c>
      <c r="F62" s="1" t="s">
        <v>54</v>
      </c>
      <c r="G62" s="1" t="s">
        <v>32</v>
      </c>
      <c r="H62" s="1" t="s">
        <v>32</v>
      </c>
      <c r="I62" s="1" t="s">
        <v>33</v>
      </c>
      <c r="J62" s="1" t="s">
        <v>33</v>
      </c>
      <c r="K62" s="1" t="s">
        <v>606</v>
      </c>
      <c r="L62" s="1" t="s">
        <v>30</v>
      </c>
      <c r="M62" s="1" t="s">
        <v>607</v>
      </c>
    </row>
    <row r="63">
      <c r="A63" s="1" t="s">
        <v>343</v>
      </c>
      <c r="B63" s="1" t="s">
        <v>68</v>
      </c>
      <c r="C63" s="1" t="s">
        <v>340</v>
      </c>
      <c r="D63" s="1">
        <v>3000.0</v>
      </c>
      <c r="E63" s="1" t="s">
        <v>346</v>
      </c>
      <c r="F63" s="1" t="s">
        <v>54</v>
      </c>
      <c r="G63" s="1" t="s">
        <v>32</v>
      </c>
      <c r="H63" s="1" t="s">
        <v>32</v>
      </c>
      <c r="I63" s="1" t="s">
        <v>33</v>
      </c>
      <c r="J63" s="1" t="s">
        <v>33</v>
      </c>
      <c r="K63" s="1" t="s">
        <v>608</v>
      </c>
      <c r="L63" s="1" t="s">
        <v>206</v>
      </c>
      <c r="M63" s="1" t="s">
        <v>609</v>
      </c>
    </row>
    <row r="64">
      <c r="A64" s="1" t="s">
        <v>347</v>
      </c>
      <c r="B64" s="1" t="s">
        <v>349</v>
      </c>
      <c r="C64" s="1" t="s">
        <v>350</v>
      </c>
      <c r="D64" s="1">
        <v>300.0</v>
      </c>
      <c r="E64" s="1" t="s">
        <v>353</v>
      </c>
      <c r="F64" s="1" t="s">
        <v>32</v>
      </c>
      <c r="G64" s="1" t="s">
        <v>32</v>
      </c>
      <c r="H64" s="1" t="s">
        <v>32</v>
      </c>
      <c r="I64" s="1" t="s">
        <v>55</v>
      </c>
      <c r="J64" s="1" t="s">
        <v>33</v>
      </c>
      <c r="K64" s="1" t="s">
        <v>610</v>
      </c>
      <c r="L64" s="1" t="s">
        <v>335</v>
      </c>
      <c r="M64" s="1" t="s">
        <v>611</v>
      </c>
    </row>
    <row r="65">
      <c r="A65" s="1" t="s">
        <v>354</v>
      </c>
      <c r="B65" s="1" t="s">
        <v>43</v>
      </c>
      <c r="C65" s="1" t="s">
        <v>350</v>
      </c>
      <c r="D65" s="1">
        <v>800.0</v>
      </c>
      <c r="E65" s="1" t="s">
        <v>357</v>
      </c>
      <c r="F65" s="1" t="s">
        <v>54</v>
      </c>
      <c r="G65" s="1" t="s">
        <v>32</v>
      </c>
      <c r="H65" s="1" t="s">
        <v>32</v>
      </c>
      <c r="I65" s="1" t="s">
        <v>55</v>
      </c>
      <c r="J65" s="1" t="s">
        <v>55</v>
      </c>
      <c r="K65" s="1" t="s">
        <v>612</v>
      </c>
      <c r="L65" s="1" t="s">
        <v>30</v>
      </c>
      <c r="M65" s="1" t="s">
        <v>613</v>
      </c>
    </row>
    <row r="66">
      <c r="A66" s="1" t="s">
        <v>358</v>
      </c>
      <c r="B66" s="1" t="s">
        <v>43</v>
      </c>
      <c r="C66" s="1" t="s">
        <v>360</v>
      </c>
      <c r="D66" s="1">
        <v>700.0</v>
      </c>
      <c r="E66" s="1" t="s">
        <v>362</v>
      </c>
      <c r="F66" s="1" t="s">
        <v>32</v>
      </c>
      <c r="G66" s="1" t="s">
        <v>32</v>
      </c>
      <c r="H66" s="1" t="s">
        <v>32</v>
      </c>
      <c r="I66" s="1" t="s">
        <v>55</v>
      </c>
      <c r="J66" s="1" t="s">
        <v>33</v>
      </c>
      <c r="K66" s="1" t="s">
        <v>614</v>
      </c>
      <c r="L66" s="1" t="s">
        <v>206</v>
      </c>
      <c r="M66" s="1" t="s">
        <v>615</v>
      </c>
    </row>
    <row r="67">
      <c r="A67" s="1" t="s">
        <v>363</v>
      </c>
      <c r="B67" s="1" t="s">
        <v>365</v>
      </c>
      <c r="C67" s="1" t="s">
        <v>360</v>
      </c>
      <c r="D67" s="1">
        <v>1000.0</v>
      </c>
      <c r="E67" s="1" t="s">
        <v>368</v>
      </c>
      <c r="F67" s="1" t="s">
        <v>54</v>
      </c>
      <c r="G67" s="1" t="s">
        <v>32</v>
      </c>
      <c r="H67" s="1" t="s">
        <v>32</v>
      </c>
      <c r="I67" s="1" t="s">
        <v>55</v>
      </c>
      <c r="J67" s="1" t="s">
        <v>55</v>
      </c>
      <c r="K67" s="1" t="s">
        <v>616</v>
      </c>
      <c r="L67" s="1" t="s">
        <v>335</v>
      </c>
      <c r="M67" s="1" t="s">
        <v>617</v>
      </c>
    </row>
    <row r="68">
      <c r="A68" s="1" t="s">
        <v>369</v>
      </c>
      <c r="B68" s="1" t="s">
        <v>27</v>
      </c>
      <c r="C68" s="1" t="s">
        <v>264</v>
      </c>
      <c r="D68" s="1">
        <v>10000.0</v>
      </c>
      <c r="E68" s="1" t="s">
        <v>373</v>
      </c>
      <c r="F68" s="1" t="s">
        <v>54</v>
      </c>
      <c r="G68" s="1" t="s">
        <v>32</v>
      </c>
      <c r="H68" s="1" t="s">
        <v>32</v>
      </c>
      <c r="I68" s="1" t="s">
        <v>33</v>
      </c>
      <c r="J68" s="1" t="s">
        <v>55</v>
      </c>
      <c r="K68" s="1" t="s">
        <v>618</v>
      </c>
      <c r="L68" s="1" t="s">
        <v>30</v>
      </c>
      <c r="M68" s="1" t="s">
        <v>619</v>
      </c>
    </row>
    <row r="69">
      <c r="A69" s="1" t="s">
        <v>374</v>
      </c>
      <c r="B69" s="1" t="s">
        <v>149</v>
      </c>
      <c r="C69" s="1" t="s">
        <v>376</v>
      </c>
      <c r="D69" s="1">
        <v>2000.0</v>
      </c>
      <c r="E69" s="1" t="s">
        <v>379</v>
      </c>
      <c r="F69" s="1" t="s">
        <v>32</v>
      </c>
      <c r="G69" s="1" t="s">
        <v>32</v>
      </c>
      <c r="H69" s="1" t="s">
        <v>32</v>
      </c>
      <c r="I69" s="1" t="s">
        <v>33</v>
      </c>
      <c r="J69" s="1" t="s">
        <v>33</v>
      </c>
      <c r="K69" s="1" t="s">
        <v>620</v>
      </c>
      <c r="L69" s="1" t="s">
        <v>176</v>
      </c>
      <c r="M69" s="1" t="s">
        <v>621</v>
      </c>
    </row>
    <row r="70">
      <c r="A70" s="1" t="s">
        <v>380</v>
      </c>
      <c r="B70" s="1" t="s">
        <v>68</v>
      </c>
      <c r="C70" s="1" t="s">
        <v>376</v>
      </c>
      <c r="D70" s="1">
        <v>1000.0</v>
      </c>
      <c r="E70" s="1" t="s">
        <v>384</v>
      </c>
      <c r="F70" s="1" t="s">
        <v>54</v>
      </c>
      <c r="G70" s="1" t="s">
        <v>32</v>
      </c>
      <c r="H70" s="1" t="s">
        <v>32</v>
      </c>
      <c r="I70" s="1" t="s">
        <v>33</v>
      </c>
      <c r="J70" s="1" t="s">
        <v>33</v>
      </c>
      <c r="K70" s="1" t="s">
        <v>622</v>
      </c>
      <c r="L70" s="1" t="s">
        <v>335</v>
      </c>
      <c r="M70" s="1" t="s">
        <v>623</v>
      </c>
    </row>
    <row r="71">
      <c r="A71" s="1" t="s">
        <v>385</v>
      </c>
      <c r="B71" s="1" t="s">
        <v>95</v>
      </c>
      <c r="C71" s="1" t="s">
        <v>387</v>
      </c>
      <c r="D71" s="1">
        <v>5000.0</v>
      </c>
      <c r="E71" s="1" t="s">
        <v>389</v>
      </c>
      <c r="F71" s="1" t="s">
        <v>32</v>
      </c>
      <c r="G71" s="1" t="s">
        <v>32</v>
      </c>
      <c r="H71" s="1" t="s">
        <v>32</v>
      </c>
      <c r="I71" s="1" t="s">
        <v>33</v>
      </c>
      <c r="J71" s="1" t="s">
        <v>33</v>
      </c>
      <c r="K71" s="1" t="s">
        <v>624</v>
      </c>
      <c r="L71" s="1" t="s">
        <v>30</v>
      </c>
      <c r="M71" s="1" t="s">
        <v>625</v>
      </c>
    </row>
    <row r="72">
      <c r="A72" s="1" t="s">
        <v>626</v>
      </c>
      <c r="B72" s="1" t="s">
        <v>68</v>
      </c>
      <c r="C72" s="1" t="s">
        <v>392</v>
      </c>
      <c r="D72" s="1">
        <v>2000.0</v>
      </c>
      <c r="E72" s="1" t="s">
        <v>395</v>
      </c>
      <c r="F72" s="1" t="s">
        <v>54</v>
      </c>
      <c r="G72" s="1" t="s">
        <v>32</v>
      </c>
      <c r="H72" s="1" t="s">
        <v>32</v>
      </c>
      <c r="I72" s="1" t="s">
        <v>55</v>
      </c>
      <c r="J72" s="1" t="s">
        <v>55</v>
      </c>
      <c r="K72" s="1" t="s">
        <v>627</v>
      </c>
      <c r="L72" s="1" t="s">
        <v>206</v>
      </c>
      <c r="M72" s="1" t="s">
        <v>628</v>
      </c>
    </row>
    <row r="73">
      <c r="A73" s="1" t="s">
        <v>396</v>
      </c>
      <c r="B73" s="1" t="s">
        <v>68</v>
      </c>
      <c r="C73" s="1" t="s">
        <v>397</v>
      </c>
      <c r="D73" s="1">
        <v>300.0</v>
      </c>
      <c r="E73" s="1" t="s">
        <v>399</v>
      </c>
      <c r="F73" s="1" t="s">
        <v>32</v>
      </c>
      <c r="G73" s="1" t="s">
        <v>32</v>
      </c>
      <c r="H73" s="1" t="s">
        <v>32</v>
      </c>
      <c r="I73" s="1" t="s">
        <v>33</v>
      </c>
      <c r="J73" s="1" t="s">
        <v>33</v>
      </c>
      <c r="K73" s="1" t="s">
        <v>629</v>
      </c>
      <c r="L73" s="1" t="s">
        <v>335</v>
      </c>
      <c r="M73" s="1" t="s">
        <v>630</v>
      </c>
    </row>
    <row r="74">
      <c r="A74" s="1" t="s">
        <v>400</v>
      </c>
      <c r="B74" s="1" t="s">
        <v>68</v>
      </c>
      <c r="C74" s="1" t="s">
        <v>402</v>
      </c>
      <c r="D74" s="1">
        <v>700.0</v>
      </c>
      <c r="E74" s="1" t="s">
        <v>405</v>
      </c>
      <c r="F74" s="1" t="s">
        <v>32</v>
      </c>
      <c r="G74" s="1" t="s">
        <v>32</v>
      </c>
      <c r="H74" s="1" t="s">
        <v>32</v>
      </c>
      <c r="I74" s="1" t="s">
        <v>33</v>
      </c>
      <c r="J74" s="1" t="s">
        <v>33</v>
      </c>
      <c r="K74" s="1" t="s">
        <v>523</v>
      </c>
      <c r="L74" s="1" t="s">
        <v>176</v>
      </c>
      <c r="M74" s="1" t="s">
        <v>631</v>
      </c>
    </row>
    <row r="75">
      <c r="A75" s="1" t="s">
        <v>406</v>
      </c>
      <c r="B75" s="1" t="s">
        <v>68</v>
      </c>
      <c r="C75" s="1" t="s">
        <v>402</v>
      </c>
      <c r="D75" s="1">
        <v>7000.0</v>
      </c>
      <c r="E75" s="1" t="s">
        <v>409</v>
      </c>
      <c r="F75" s="1" t="s">
        <v>54</v>
      </c>
      <c r="G75" s="1" t="s">
        <v>32</v>
      </c>
      <c r="H75" s="1" t="s">
        <v>32</v>
      </c>
      <c r="I75" s="1" t="s">
        <v>33</v>
      </c>
      <c r="J75" s="1" t="s">
        <v>33</v>
      </c>
      <c r="K75" s="1" t="s">
        <v>632</v>
      </c>
      <c r="L75" s="1" t="s">
        <v>30</v>
      </c>
      <c r="M75" s="1" t="s">
        <v>633</v>
      </c>
    </row>
    <row r="76">
      <c r="A76" s="1" t="s">
        <v>410</v>
      </c>
      <c r="B76" s="1" t="s">
        <v>68</v>
      </c>
      <c r="C76" s="1" t="s">
        <v>412</v>
      </c>
      <c r="D76" s="1">
        <v>5000.0</v>
      </c>
      <c r="E76" s="1" t="s">
        <v>415</v>
      </c>
      <c r="F76" s="1" t="s">
        <v>54</v>
      </c>
      <c r="G76" s="1" t="s">
        <v>32</v>
      </c>
      <c r="H76" s="1" t="s">
        <v>32</v>
      </c>
      <c r="I76" s="1" t="s">
        <v>55</v>
      </c>
      <c r="J76" s="1" t="s">
        <v>55</v>
      </c>
      <c r="K76" s="1" t="s">
        <v>634</v>
      </c>
      <c r="L76" s="1" t="s">
        <v>335</v>
      </c>
      <c r="M76" s="1" t="s">
        <v>635</v>
      </c>
    </row>
    <row r="77">
      <c r="A77" s="1" t="s">
        <v>416</v>
      </c>
      <c r="B77" s="1" t="s">
        <v>68</v>
      </c>
      <c r="C77" s="1" t="s">
        <v>412</v>
      </c>
      <c r="D77" s="1">
        <v>4000.0</v>
      </c>
      <c r="E77" s="1" t="s">
        <v>419</v>
      </c>
      <c r="F77" s="1" t="s">
        <v>54</v>
      </c>
      <c r="G77" s="1" t="s">
        <v>32</v>
      </c>
      <c r="H77" s="1" t="s">
        <v>32</v>
      </c>
      <c r="I77" s="1" t="s">
        <v>55</v>
      </c>
      <c r="J77" s="1" t="s">
        <v>55</v>
      </c>
      <c r="K77" s="1" t="s">
        <v>636</v>
      </c>
      <c r="L77" s="1" t="s">
        <v>206</v>
      </c>
      <c r="M77" s="1" t="s">
        <v>637</v>
      </c>
    </row>
    <row r="78">
      <c r="A78" s="1" t="s">
        <v>420</v>
      </c>
      <c r="B78" s="1" t="s">
        <v>68</v>
      </c>
      <c r="C78" s="1" t="s">
        <v>107</v>
      </c>
      <c r="D78" s="1">
        <v>6000.0</v>
      </c>
      <c r="E78" s="1" t="s">
        <v>423</v>
      </c>
      <c r="F78" s="1" t="s">
        <v>54</v>
      </c>
      <c r="G78" s="1" t="s">
        <v>32</v>
      </c>
      <c r="H78" s="1" t="s">
        <v>32</v>
      </c>
      <c r="I78" s="1" t="s">
        <v>33</v>
      </c>
      <c r="J78" s="1" t="s">
        <v>33</v>
      </c>
      <c r="K78" s="1" t="s">
        <v>563</v>
      </c>
      <c r="L78" s="1" t="s">
        <v>30</v>
      </c>
      <c r="M78" s="1" t="s">
        <v>638</v>
      </c>
    </row>
    <row r="79">
      <c r="A79" s="1" t="s">
        <v>424</v>
      </c>
      <c r="B79" s="1" t="s">
        <v>68</v>
      </c>
      <c r="C79" s="1" t="s">
        <v>426</v>
      </c>
      <c r="D79" s="1">
        <v>8000.0</v>
      </c>
      <c r="E79" s="1" t="s">
        <v>429</v>
      </c>
      <c r="F79" s="1" t="s">
        <v>54</v>
      </c>
      <c r="G79" s="1" t="s">
        <v>32</v>
      </c>
      <c r="H79" s="1" t="s">
        <v>32</v>
      </c>
      <c r="I79" s="1" t="s">
        <v>33</v>
      </c>
      <c r="J79" s="1" t="s">
        <v>55</v>
      </c>
      <c r="K79" s="1" t="s">
        <v>639</v>
      </c>
      <c r="L79" s="1" t="s">
        <v>335</v>
      </c>
      <c r="M79" s="1" t="s">
        <v>640</v>
      </c>
    </row>
    <row r="80">
      <c r="A80" s="1" t="s">
        <v>430</v>
      </c>
      <c r="B80" s="1" t="s">
        <v>432</v>
      </c>
      <c r="C80" s="1" t="s">
        <v>433</v>
      </c>
      <c r="D80" s="1">
        <v>500.0</v>
      </c>
      <c r="E80" s="1" t="s">
        <v>435</v>
      </c>
      <c r="F80" s="1" t="s">
        <v>32</v>
      </c>
      <c r="G80" s="1" t="s">
        <v>32</v>
      </c>
      <c r="H80" s="1" t="s">
        <v>32</v>
      </c>
      <c r="I80" s="1" t="s">
        <v>55</v>
      </c>
      <c r="J80" s="1" t="s">
        <v>33</v>
      </c>
      <c r="K80" s="1" t="s">
        <v>537</v>
      </c>
      <c r="L80" s="1" t="s">
        <v>206</v>
      </c>
      <c r="M80" s="1" t="s">
        <v>641</v>
      </c>
    </row>
    <row r="81">
      <c r="A81" s="1" t="s">
        <v>436</v>
      </c>
      <c r="B81" s="1" t="s">
        <v>68</v>
      </c>
      <c r="C81" s="1" t="s">
        <v>438</v>
      </c>
      <c r="D81" s="1">
        <v>1000.0</v>
      </c>
      <c r="E81" s="1" t="s">
        <v>440</v>
      </c>
      <c r="F81" s="1" t="s">
        <v>54</v>
      </c>
      <c r="G81" s="1" t="s">
        <v>32</v>
      </c>
      <c r="H81" s="1" t="s">
        <v>32</v>
      </c>
      <c r="I81" s="1" t="s">
        <v>33</v>
      </c>
      <c r="J81" s="1" t="s">
        <v>33</v>
      </c>
      <c r="K81" s="1" t="s">
        <v>642</v>
      </c>
      <c r="L81" s="1" t="s">
        <v>30</v>
      </c>
      <c r="M81" s="1" t="s">
        <v>643</v>
      </c>
    </row>
    <row r="82">
      <c r="A82" s="1" t="s">
        <v>441</v>
      </c>
      <c r="B82" s="1" t="s">
        <v>443</v>
      </c>
      <c r="C82" s="1" t="s">
        <v>444</v>
      </c>
      <c r="D82" s="1">
        <v>500.0</v>
      </c>
      <c r="E82" s="1" t="s">
        <v>447</v>
      </c>
      <c r="F82" s="1" t="s">
        <v>54</v>
      </c>
      <c r="G82" s="1" t="s">
        <v>32</v>
      </c>
      <c r="H82" s="1" t="s">
        <v>32</v>
      </c>
      <c r="I82" s="1" t="s">
        <v>33</v>
      </c>
      <c r="J82" s="1" t="s">
        <v>33</v>
      </c>
      <c r="K82" s="1" t="s">
        <v>644</v>
      </c>
      <c r="L82" s="1" t="s">
        <v>335</v>
      </c>
      <c r="M82" s="1" t="s">
        <v>645</v>
      </c>
    </row>
    <row r="83">
      <c r="A83" s="1" t="s">
        <v>448</v>
      </c>
      <c r="B83" s="1" t="s">
        <v>450</v>
      </c>
      <c r="C83" s="1" t="s">
        <v>438</v>
      </c>
      <c r="D83" s="1">
        <v>300.0</v>
      </c>
      <c r="E83" s="1" t="s">
        <v>453</v>
      </c>
      <c r="F83" s="1" t="s">
        <v>32</v>
      </c>
      <c r="G83" s="1" t="s">
        <v>32</v>
      </c>
      <c r="H83" s="1" t="s">
        <v>32</v>
      </c>
      <c r="I83" s="1" t="s">
        <v>33</v>
      </c>
      <c r="J83" s="1" t="s">
        <v>33</v>
      </c>
      <c r="K83" s="1" t="s">
        <v>646</v>
      </c>
      <c r="L83" s="1" t="s">
        <v>176</v>
      </c>
      <c r="M83" s="1" t="s">
        <v>647</v>
      </c>
    </row>
    <row r="84">
      <c r="A84" s="1" t="s">
        <v>454</v>
      </c>
      <c r="B84" s="1" t="s">
        <v>456</v>
      </c>
      <c r="C84" s="1" t="s">
        <v>457</v>
      </c>
      <c r="D84" s="1">
        <v>500.0</v>
      </c>
      <c r="E84" s="1" t="s">
        <v>459</v>
      </c>
      <c r="F84" s="1" t="s">
        <v>54</v>
      </c>
      <c r="G84" s="1" t="s">
        <v>32</v>
      </c>
      <c r="H84" s="1" t="s">
        <v>32</v>
      </c>
      <c r="I84" s="1" t="s">
        <v>33</v>
      </c>
      <c r="J84" s="1" t="s">
        <v>33</v>
      </c>
      <c r="K84" s="1" t="s">
        <v>648</v>
      </c>
      <c r="L84" s="1" t="s">
        <v>30</v>
      </c>
      <c r="M84" s="1" t="s">
        <v>649</v>
      </c>
    </row>
    <row r="85">
      <c r="A85" s="1" t="s">
        <v>460</v>
      </c>
      <c r="B85" s="1" t="s">
        <v>68</v>
      </c>
      <c r="C85" s="1" t="s">
        <v>457</v>
      </c>
      <c r="D85" s="1">
        <v>800.0</v>
      </c>
      <c r="E85" s="1" t="s">
        <v>463</v>
      </c>
      <c r="F85" s="1" t="s">
        <v>54</v>
      </c>
      <c r="G85" s="1" t="s">
        <v>32</v>
      </c>
      <c r="H85" s="1" t="s">
        <v>32</v>
      </c>
      <c r="I85" s="1" t="s">
        <v>55</v>
      </c>
      <c r="J85" s="1" t="s">
        <v>55</v>
      </c>
      <c r="K85" s="1" t="s">
        <v>650</v>
      </c>
      <c r="L85" s="1" t="s">
        <v>335</v>
      </c>
      <c r="M85" s="1" t="s">
        <v>651</v>
      </c>
    </row>
    <row r="86">
      <c r="A86" s="1" t="s">
        <v>652</v>
      </c>
      <c r="B86" s="1" t="s">
        <v>68</v>
      </c>
      <c r="C86" s="1" t="s">
        <v>466</v>
      </c>
      <c r="D86" s="1">
        <v>900.0</v>
      </c>
      <c r="E86" s="1" t="s">
        <v>468</v>
      </c>
      <c r="F86" s="1" t="s">
        <v>32</v>
      </c>
      <c r="G86" s="1" t="s">
        <v>32</v>
      </c>
      <c r="H86" s="1" t="s">
        <v>32</v>
      </c>
      <c r="I86" s="1" t="s">
        <v>33</v>
      </c>
      <c r="J86" s="1" t="s">
        <v>33</v>
      </c>
      <c r="K86" s="1" t="s">
        <v>653</v>
      </c>
      <c r="L86" s="1" t="s">
        <v>206</v>
      </c>
      <c r="M86" s="1" t="s">
        <v>654</v>
      </c>
    </row>
    <row r="87">
      <c r="A87" s="1" t="s">
        <v>469</v>
      </c>
      <c r="B87" s="1" t="s">
        <v>68</v>
      </c>
      <c r="C87" s="1" t="s">
        <v>471</v>
      </c>
      <c r="D87" s="1">
        <v>2000.0</v>
      </c>
      <c r="E87" s="1" t="s">
        <v>474</v>
      </c>
      <c r="F87" s="1" t="s">
        <v>54</v>
      </c>
      <c r="G87" s="1" t="s">
        <v>32</v>
      </c>
      <c r="H87" s="1" t="s">
        <v>32</v>
      </c>
      <c r="I87" s="1" t="s">
        <v>33</v>
      </c>
      <c r="J87" s="1" t="s">
        <v>33</v>
      </c>
      <c r="K87" s="1" t="s">
        <v>655</v>
      </c>
      <c r="L87" s="1" t="s">
        <v>30</v>
      </c>
      <c r="M87" s="1" t="s">
        <v>656</v>
      </c>
    </row>
    <row r="88">
      <c r="A88" s="1" t="s">
        <v>657</v>
      </c>
      <c r="B88" s="1" t="s">
        <v>68</v>
      </c>
      <c r="C88" s="1" t="s">
        <v>471</v>
      </c>
      <c r="D88" s="1">
        <v>5000.0</v>
      </c>
      <c r="E88" s="1" t="s">
        <v>479</v>
      </c>
      <c r="F88" s="1" t="s">
        <v>54</v>
      </c>
      <c r="G88" s="1" t="s">
        <v>32</v>
      </c>
      <c r="H88" s="1" t="s">
        <v>32</v>
      </c>
      <c r="I88" s="1" t="s">
        <v>33</v>
      </c>
      <c r="J88" s="1" t="s">
        <v>55</v>
      </c>
      <c r="K88" s="1" t="s">
        <v>658</v>
      </c>
      <c r="L88" s="1" t="s">
        <v>335</v>
      </c>
      <c r="M88" s="1" t="s">
        <v>659</v>
      </c>
    </row>
    <row r="89">
      <c r="A89" s="1" t="s">
        <v>660</v>
      </c>
      <c r="B89" s="1" t="s">
        <v>477</v>
      </c>
      <c r="C89" s="1" t="s">
        <v>471</v>
      </c>
      <c r="D89" s="1">
        <v>10000.0</v>
      </c>
      <c r="E89" s="1" t="s">
        <v>484</v>
      </c>
      <c r="F89" s="1" t="s">
        <v>54</v>
      </c>
      <c r="G89" s="1" t="s">
        <v>32</v>
      </c>
      <c r="H89" s="1" t="s">
        <v>32</v>
      </c>
      <c r="I89" s="1" t="s">
        <v>33</v>
      </c>
      <c r="J89" s="1" t="s">
        <v>33</v>
      </c>
      <c r="K89" s="1" t="s">
        <v>661</v>
      </c>
      <c r="L89" s="1" t="s">
        <v>206</v>
      </c>
      <c r="M89" s="1" t="s">
        <v>662</v>
      </c>
    </row>
  </sheetData>
  <drawing r:id="rId1"/>
</worksheet>
</file>